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600" windowWidth="18880" windowHeight="9240" activeTab="2"/>
  </bookViews>
  <sheets>
    <sheet name="Sales_Data" sheetId="1" r:id="rId1"/>
    <sheet name="Sheet1" sheetId="2" r:id="rId2"/>
    <sheet name="Sheet2" sheetId="3" r:id="rId3"/>
  </sheets>
  <definedNames>
    <definedName name="Slicer_Order_Date">#N/A</definedName>
    <definedName name="Slicer_Product">#N/A</definedName>
    <definedName name="Slicer_Region">#N/A</definedName>
  </definedNames>
  <calcPr calcId="144525"/>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9" i="1" l="1"/>
  <c r="J7" i="1"/>
  <c r="J5" i="1"/>
  <c r="J3" i="1"/>
</calcChain>
</file>

<file path=xl/sharedStrings.xml><?xml version="1.0" encoding="utf-8"?>
<sst xmlns="http://schemas.openxmlformats.org/spreadsheetml/2006/main" count="388" uniqueCount="148">
  <si>
    <t>Order_ID</t>
  </si>
  <si>
    <t>Order_Date</t>
  </si>
  <si>
    <t>Region</t>
  </si>
  <si>
    <t>Product</t>
  </si>
  <si>
    <t>Category</t>
  </si>
  <si>
    <t>Sales_Amount</t>
  </si>
  <si>
    <t>Profit</t>
  </si>
  <si>
    <t>Quantity</t>
  </si>
  <si>
    <t>ORD001</t>
  </si>
  <si>
    <t>2024-01-05</t>
  </si>
  <si>
    <t>North</t>
  </si>
  <si>
    <t>Laptop</t>
  </si>
  <si>
    <t>Electronics</t>
  </si>
  <si>
    <t>ORD002</t>
  </si>
  <si>
    <t>2024-01-07</t>
  </si>
  <si>
    <t>South</t>
  </si>
  <si>
    <t>Mobile</t>
  </si>
  <si>
    <t>ORD003</t>
  </si>
  <si>
    <t>2024-01-10</t>
  </si>
  <si>
    <t>East</t>
  </si>
  <si>
    <t>Chair</t>
  </si>
  <si>
    <t>Furniture</t>
  </si>
  <si>
    <t>ORD004</t>
  </si>
  <si>
    <t>2024-01-12</t>
  </si>
  <si>
    <t>West</t>
  </si>
  <si>
    <t>Table</t>
  </si>
  <si>
    <t>ORD005</t>
  </si>
  <si>
    <t>2024-01-15</t>
  </si>
  <si>
    <t>Printer</t>
  </si>
  <si>
    <t>ORD006</t>
  </si>
  <si>
    <t>2024-01-18</t>
  </si>
  <si>
    <t>Notebook</t>
  </si>
  <si>
    <t>Stationery</t>
  </si>
  <si>
    <t>ORD007</t>
  </si>
  <si>
    <t>2024-01-20</t>
  </si>
  <si>
    <t>Pen</t>
  </si>
  <si>
    <t>ORD008</t>
  </si>
  <si>
    <t>2024-01-22</t>
  </si>
  <si>
    <t>Monitor</t>
  </si>
  <si>
    <t>ORD009</t>
  </si>
  <si>
    <t>2024-01-25</t>
  </si>
  <si>
    <t>Keyboard</t>
  </si>
  <si>
    <t>ORD010</t>
  </si>
  <si>
    <t>2024-01-28</t>
  </si>
  <si>
    <t>Mouse</t>
  </si>
  <si>
    <t>ORD011</t>
  </si>
  <si>
    <t>2024-02-02</t>
  </si>
  <si>
    <t>Desk</t>
  </si>
  <si>
    <t>ORD012</t>
  </si>
  <si>
    <t>2024-02-04</t>
  </si>
  <si>
    <t>Sofa</t>
  </si>
  <si>
    <t>ORD013</t>
  </si>
  <si>
    <t>2024-02-06</t>
  </si>
  <si>
    <t>Headphones</t>
  </si>
  <si>
    <t>ORD014</t>
  </si>
  <si>
    <t>2024-02-08</t>
  </si>
  <si>
    <t>Calculator</t>
  </si>
  <si>
    <t>ORD015</t>
  </si>
  <si>
    <t>2024-02-10</t>
  </si>
  <si>
    <t>Whiteboard</t>
  </si>
  <si>
    <t>ORD016</t>
  </si>
  <si>
    <t>2024-02-12</t>
  </si>
  <si>
    <t>ORD017</t>
  </si>
  <si>
    <t>2024-02-15</t>
  </si>
  <si>
    <t>ORD018</t>
  </si>
  <si>
    <t>2024-02-18</t>
  </si>
  <si>
    <t>ORD019</t>
  </si>
  <si>
    <t>2024-02-20</t>
  </si>
  <si>
    <t>ORD020</t>
  </si>
  <si>
    <t>2024-02-22</t>
  </si>
  <si>
    <t>ORD021</t>
  </si>
  <si>
    <t>2024-02-25</t>
  </si>
  <si>
    <t>ORD022</t>
  </si>
  <si>
    <t>2024-02-27</t>
  </si>
  <si>
    <t>ORD023</t>
  </si>
  <si>
    <t>2024-03-01</t>
  </si>
  <si>
    <t>ORD024</t>
  </si>
  <si>
    <t>2024-03-03</t>
  </si>
  <si>
    <t>ORD025</t>
  </si>
  <si>
    <t>2024-03-05</t>
  </si>
  <si>
    <t>ORD026</t>
  </si>
  <si>
    <t>2024-03-08</t>
  </si>
  <si>
    <t>ORD027</t>
  </si>
  <si>
    <t>2024-03-10</t>
  </si>
  <si>
    <t>ORD028</t>
  </si>
  <si>
    <t>2024-03-12</t>
  </si>
  <si>
    <t>ORD029</t>
  </si>
  <si>
    <t>2024-03-15</t>
  </si>
  <si>
    <t>ORD030</t>
  </si>
  <si>
    <t>2024-03-18</t>
  </si>
  <si>
    <t>ORD031</t>
  </si>
  <si>
    <t>2024-03-20</t>
  </si>
  <si>
    <t>ORD032</t>
  </si>
  <si>
    <t>2024-03-22</t>
  </si>
  <si>
    <t>ORD033</t>
  </si>
  <si>
    <t>2024-03-25</t>
  </si>
  <si>
    <t>ORD034</t>
  </si>
  <si>
    <t>2024-03-28</t>
  </si>
  <si>
    <t>ORD035</t>
  </si>
  <si>
    <t>2024-03-30</t>
  </si>
  <si>
    <t>ORD036</t>
  </si>
  <si>
    <t>2024-04-02</t>
  </si>
  <si>
    <t>ORD037</t>
  </si>
  <si>
    <t>2024-04-04</t>
  </si>
  <si>
    <t>ORD038</t>
  </si>
  <si>
    <t>2024-04-06</t>
  </si>
  <si>
    <t>ORD039</t>
  </si>
  <si>
    <t>2024-04-08</t>
  </si>
  <si>
    <t>ORD040</t>
  </si>
  <si>
    <t>2024-04-10</t>
  </si>
  <si>
    <t>ORD041</t>
  </si>
  <si>
    <t>2024-04-12</t>
  </si>
  <si>
    <t>ORD042</t>
  </si>
  <si>
    <t>2024-04-15</t>
  </si>
  <si>
    <t>ORD043</t>
  </si>
  <si>
    <t>2024-04-18</t>
  </si>
  <si>
    <t>ORD044</t>
  </si>
  <si>
    <t>2024-04-20</t>
  </si>
  <si>
    <t>ORD045</t>
  </si>
  <si>
    <t>2024-04-22</t>
  </si>
  <si>
    <t>ORD046</t>
  </si>
  <si>
    <t>2024-04-25</t>
  </si>
  <si>
    <t>ORD047</t>
  </si>
  <si>
    <t>2024-04-27</t>
  </si>
  <si>
    <t>ORD048</t>
  </si>
  <si>
    <t>2024-04-29</t>
  </si>
  <si>
    <t>ORD049</t>
  </si>
  <si>
    <t>2024-05-02</t>
  </si>
  <si>
    <t>ORD050</t>
  </si>
  <si>
    <t>2024-05-05</t>
  </si>
  <si>
    <t>ORD051</t>
  </si>
  <si>
    <t>2024-05-07</t>
  </si>
  <si>
    <t>ORD052</t>
  </si>
  <si>
    <t>2024-05-09</t>
  </si>
  <si>
    <t>ORD053</t>
  </si>
  <si>
    <t>2024-05-11</t>
  </si>
  <si>
    <t>ORD054</t>
  </si>
  <si>
    <t>2024-05-13</t>
  </si>
  <si>
    <t>ORD055</t>
  </si>
  <si>
    <t>2024-05-15</t>
  </si>
  <si>
    <t>Grand total</t>
  </si>
  <si>
    <t>unit sold</t>
  </si>
  <si>
    <t xml:space="preserve">total profit </t>
  </si>
  <si>
    <t>average</t>
  </si>
  <si>
    <t>Row Labels</t>
  </si>
  <si>
    <t>Grand Total</t>
  </si>
  <si>
    <t>Sum of Sales_Amount</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</si>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</sst>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5" formatCode="&quot;₹&quot;\ #,##0;&quot;₹&quot;\ \-#,##0"/>
    <numFmt numFmtId="8" formatCode="&quot;₹&quot;\ #,##0.00;[Red]&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5" fontId="0" fillId="0" borderId="0" xfId="0" applyNumberFormat="1"/>
    <xf numFmtId="3" fontId="0" fillId="0" borderId="0" xfId="0" applyNumberFormat="1"/>
  </cellXfs>
  <cellStyles count="1">
    <cellStyle name="Normal" xfId="0" builtinId="0"/>
  </cellStyles>
  <dxfs count="1">
    <dxf>
      <numFmt numFmtId="12" formatCode="&quot;₹&quot;\ #,##0.00;[Red]&quot;₹&quot;\ \-#,##0.0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[Sales_Dataset.xlsx]Sheet1!PivotTable1</c:name>
    <c:fmtId val="0"/>
  </c:pivotSource>
  <c:chart>
    <c:title>
      <c:tx>
        <c:rich>
          <a:bodyPr/>
          <a:lstStyle/>
          <a:p>
            <a:pPr>
              <a:defRPr/>
            </a:pPr>
            <a:r>
              <a:rPr lang="en-IN"/>
              <a:t>SALES BY REGION</a:t>
            </a:r>
          </a:p>
        </c:rich>
      </c:tx>
      <c:layout/>
      <c:overlay val="0"/>
    </c:title>
    <c:autoTitleDeleted val="0"/>
    <c:pivotFmts>
      <c:pivotFmt>
        <c:idx val="0"/>
        <c:dLbl>
          <c:idx val="0"/>
          <c:layout/>
          <c:spPr/>
          <c:txPr>
            <a:bodyPr/>
            <a:lstStyle/>
            <a:p>
              <a:pPr>
                <a:defRPr/>
              </a:pPr>
              <a:endParaRPr lang="en-US"/>
            </a:p>
          </c:txPr>
          <c:showLegendKey val="0"/>
          <c:showVal val="1"/>
          <c:showCatName val="0"/>
          <c:showSerName val="0"/>
          <c:showPercent val="0"/>
          <c:showBubbleSize val="0"/>
        </c:dLbl>
      </c:pivotFmt>
      <c:pivotFmt>
        <c:idx val="1"/>
        <c:dLbl>
          <c:idx val="0"/>
          <c:layout>
            <c:manualLayout>
              <c:x val="0.11944444444444445"/>
              <c:y val="-4.1666666666666706E-2"/>
            </c:manualLayout>
          </c:layout>
          <c:showLegendKey val="0"/>
          <c:showVal val="1"/>
          <c:showCatName val="0"/>
          <c:showSerName val="0"/>
          <c:showPercent val="0"/>
          <c:showBubbleSize val="0"/>
        </c:dLbl>
      </c:pivotFmt>
      <c:pivotFmt>
        <c:idx val="2"/>
        <c:dLbl>
          <c:idx val="0"/>
          <c:layout>
            <c:manualLayout>
              <c:x val="-0.13055555555555554"/>
              <c:y val="-4.6296296296296294E-2"/>
            </c:manualLayout>
          </c:layout>
          <c:showLegendKey val="0"/>
          <c:showVal val="1"/>
          <c:showCatName val="0"/>
          <c:showSerName val="0"/>
          <c:showPercent val="0"/>
          <c:showBubbleSize val="0"/>
        </c:dLbl>
      </c:pivotFmt>
      <c:pivotFmt>
        <c:idx val="3"/>
        <c:dLbl>
          <c:idx val="0"/>
          <c:layout>
            <c:manualLayout>
              <c:x val="-0.14444444444444443"/>
              <c:y val="2.3148148148148147E-2"/>
            </c:manualLayout>
          </c:layout>
          <c:showLegendKey val="0"/>
          <c:showVal val="1"/>
          <c:showCatName val="0"/>
          <c:showSerName val="0"/>
          <c:showPercent val="0"/>
          <c:showBubbleSize val="0"/>
        </c:dLbl>
      </c:pivotFmt>
      <c:pivotFmt>
        <c:idx val="4"/>
        <c:dLbl>
          <c:idx val="0"/>
          <c:layout>
            <c:manualLayout>
              <c:x val="0.1361111111111111"/>
              <c:y val="6.0185185185185272E-2"/>
            </c:manualLayout>
          </c:layout>
          <c:showLegendKey val="0"/>
          <c:showVal val="1"/>
          <c:showCatName val="0"/>
          <c:showSerName val="0"/>
          <c:showPercent val="0"/>
          <c:showBubbleSize val="0"/>
        </c:dLbl>
      </c:pivotFmt>
    </c:pivotFmts>
    <c:plotArea>
      <c:layout/>
      <c:doughnutChart>
        <c:varyColors val="1"/>
        <c:ser>
          <c:idx val="0"/>
          <c:order val="0"/>
          <c:tx>
            <c:strRef>
              <c:f>Sheet1!$B$3</c:f>
              <c:strCache>
                <c:ptCount val="1"/>
                <c:pt idx="0">
                  <c:v>Total</c:v>
                </c:pt>
              </c:strCache>
            </c:strRef>
          </c:tx>
          <c:dLbls>
            <c:dLbl>
              <c:idx val="0"/>
              <c:layout>
                <c:manualLayout>
                  <c:x val="0.11944444444444445"/>
                  <c:y val="-4.1666666666666706E-2"/>
                </c:manualLayout>
              </c:layout>
              <c:showLegendKey val="0"/>
              <c:showVal val="1"/>
              <c:showCatName val="0"/>
              <c:showSerName val="0"/>
              <c:showPercent val="0"/>
              <c:showBubbleSize val="0"/>
            </c:dLbl>
            <c:dLbl>
              <c:idx val="1"/>
              <c:layout>
                <c:manualLayout>
                  <c:x val="0.1361111111111111"/>
                  <c:y val="6.0185185185185272E-2"/>
                </c:manualLayout>
              </c:layout>
              <c:showLegendKey val="0"/>
              <c:showVal val="1"/>
              <c:showCatName val="0"/>
              <c:showSerName val="0"/>
              <c:showPercent val="0"/>
              <c:showBubbleSize val="0"/>
            </c:dLbl>
            <c:dLbl>
              <c:idx val="2"/>
              <c:layout>
                <c:manualLayout>
                  <c:x val="-0.14444444444444443"/>
                  <c:y val="2.3148148148148147E-2"/>
                </c:manualLayout>
              </c:layout>
              <c:showLegendKey val="0"/>
              <c:showVal val="1"/>
              <c:showCatName val="0"/>
              <c:showSerName val="0"/>
              <c:showPercent val="0"/>
              <c:showBubbleSize val="0"/>
            </c:dLbl>
            <c:dLbl>
              <c:idx val="3"/>
              <c:layout>
                <c:manualLayout>
                  <c:x val="-0.13055555555555554"/>
                  <c:y val="-4.6296296296296294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1"/>
          </c:dLbls>
          <c:cat>
            <c:strRef>
              <c:f>Sheet1!$A$4:$A$8</c:f>
              <c:strCache>
                <c:ptCount val="4"/>
                <c:pt idx="0">
                  <c:v>East</c:v>
                </c:pt>
                <c:pt idx="1">
                  <c:v>North</c:v>
                </c:pt>
                <c:pt idx="2">
                  <c:v>South</c:v>
                </c:pt>
                <c:pt idx="3">
                  <c:v>West</c:v>
                </c:pt>
              </c:strCache>
            </c:strRef>
          </c:cat>
          <c:val>
            <c:numRef>
              <c:f>Sheet1!$B$4:$B$8</c:f>
              <c:numCache>
                <c:formatCode>"₹"#,##0_);\("₹"#,##0\)</c:formatCode>
                <c:ptCount val="4"/>
                <c:pt idx="0">
                  <c:v>209600</c:v>
                </c:pt>
                <c:pt idx="1">
                  <c:v>162200</c:v>
                </c:pt>
                <c:pt idx="2">
                  <c:v>208700</c:v>
                </c:pt>
                <c:pt idx="3">
                  <c:v>188700</c:v>
                </c:pt>
              </c:numCache>
            </c:numRef>
          </c:val>
        </c:ser>
        <c:dLbls>
          <c:showLegendKey val="0"/>
          <c:showVal val="1"/>
          <c:showCatName val="0"/>
          <c:showSerName val="0"/>
          <c:showPercent val="0"/>
          <c:showBubbleSize val="0"/>
          <c:showLeaderLines val="1"/>
        </c:dLbls>
        <c:firstSliceAng val="0"/>
        <c:holeSize val="59"/>
      </c:doughnutChart>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[Sales_Dataset.xlsx]Sheet1!PivotTable2</c:name>
    <c:fmtId val="0"/>
  </c:pivotSource>
  <c:chart>
    <c:autoTitleDeleted val="1"/>
    <c:pivotFmts>
      <c:pivotFmt>
        <c:idx val="0"/>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8640594925634296"/>
          <c:y val="6.3678550597841943E-2"/>
          <c:w val="0.71534405074365703"/>
          <c:h val="0.84348972003499567"/>
        </c:manualLayout>
      </c:layout>
      <c:barChart>
        <c:barDir val="bar"/>
        <c:grouping val="clustered"/>
        <c:varyColors val="0"/>
        <c:ser>
          <c:idx val="0"/>
          <c:order val="0"/>
          <c:tx>
            <c:strRef>
              <c:f>Sheet1!$E$3</c:f>
              <c:strCache>
                <c:ptCount val="1"/>
                <c:pt idx="0">
                  <c:v>Total</c:v>
                </c:pt>
              </c:strCache>
            </c:strRef>
          </c:tx>
          <c:invertIfNegative val="0"/>
          <c:dLbls>
            <c:spPr/>
            <c:txPr>
              <a:bodyPr/>
              <a:lstStyle/>
              <a:p>
                <a:pPr>
                  <a:defRPr b="1"/>
                </a:pPr>
                <a:endParaRPr lang="en-US"/>
              </a:p>
            </c:txPr>
            <c:showLegendKey val="0"/>
            <c:showVal val="1"/>
            <c:showCatName val="0"/>
            <c:showSerName val="0"/>
            <c:showPercent val="0"/>
            <c:showBubbleSize val="0"/>
            <c:showLeaderLines val="0"/>
          </c:dLbls>
          <c:cat>
            <c:strRef>
              <c:f>Sheet1!$D$4:$D$19</c:f>
              <c:strCache>
                <c:ptCount val="15"/>
                <c:pt idx="0">
                  <c:v>Calculator</c:v>
                </c:pt>
                <c:pt idx="1">
                  <c:v>Chair</c:v>
                </c:pt>
                <c:pt idx="2">
                  <c:v>Desk</c:v>
                </c:pt>
                <c:pt idx="3">
                  <c:v>Headphones</c:v>
                </c:pt>
                <c:pt idx="4">
                  <c:v>Keyboard</c:v>
                </c:pt>
                <c:pt idx="5">
                  <c:v>Laptop</c:v>
                </c:pt>
                <c:pt idx="6">
                  <c:v>Mobile</c:v>
                </c:pt>
                <c:pt idx="7">
                  <c:v>Monitor</c:v>
                </c:pt>
                <c:pt idx="8">
                  <c:v>Mouse</c:v>
                </c:pt>
                <c:pt idx="9">
                  <c:v>Notebook</c:v>
                </c:pt>
                <c:pt idx="10">
                  <c:v>Pen</c:v>
                </c:pt>
                <c:pt idx="11">
                  <c:v>Printer</c:v>
                </c:pt>
                <c:pt idx="12">
                  <c:v>Sofa</c:v>
                </c:pt>
                <c:pt idx="13">
                  <c:v>Table</c:v>
                </c:pt>
                <c:pt idx="14">
                  <c:v>Whiteboard</c:v>
                </c:pt>
              </c:strCache>
            </c:strRef>
          </c:cat>
          <c:val>
            <c:numRef>
              <c:f>Sheet1!$E$4:$E$19</c:f>
              <c:numCache>
                <c:formatCode>"₹"#,##0_);\("₹"#,##0\)</c:formatCode>
                <c:ptCount val="15"/>
                <c:pt idx="0">
                  <c:v>3000</c:v>
                </c:pt>
                <c:pt idx="1">
                  <c:v>19500</c:v>
                </c:pt>
                <c:pt idx="2">
                  <c:v>48000</c:v>
                </c:pt>
                <c:pt idx="3">
                  <c:v>12700</c:v>
                </c:pt>
                <c:pt idx="4">
                  <c:v>13200</c:v>
                </c:pt>
                <c:pt idx="5">
                  <c:v>235000</c:v>
                </c:pt>
                <c:pt idx="6">
                  <c:v>86000</c:v>
                </c:pt>
                <c:pt idx="7">
                  <c:v>73000</c:v>
                </c:pt>
                <c:pt idx="8">
                  <c:v>8100</c:v>
                </c:pt>
                <c:pt idx="9">
                  <c:v>6000</c:v>
                </c:pt>
                <c:pt idx="10">
                  <c:v>2600</c:v>
                </c:pt>
                <c:pt idx="11">
                  <c:v>59800</c:v>
                </c:pt>
                <c:pt idx="12">
                  <c:v>140000</c:v>
                </c:pt>
                <c:pt idx="13">
                  <c:v>51000</c:v>
                </c:pt>
                <c:pt idx="14">
                  <c:v>11300</c:v>
                </c:pt>
              </c:numCache>
            </c:numRef>
          </c:val>
        </c:ser>
        <c:dLbls>
          <c:dLblPos val="outEnd"/>
          <c:showLegendKey val="0"/>
          <c:showVal val="1"/>
          <c:showCatName val="0"/>
          <c:showSerName val="0"/>
          <c:showPercent val="0"/>
          <c:showBubbleSize val="0"/>
        </c:dLbls>
        <c:gapWidth val="59"/>
        <c:axId val="171047168"/>
        <c:axId val="210052992"/>
      </c:barChart>
      <c:catAx>
        <c:axId val="171047168"/>
        <c:scaling>
          <c:orientation val="minMax"/>
        </c:scaling>
        <c:delete val="0"/>
        <c:axPos val="l"/>
        <c:majorTickMark val="out"/>
        <c:minorTickMark val="none"/>
        <c:tickLblPos val="nextTo"/>
        <c:crossAx val="210052992"/>
        <c:crosses val="autoZero"/>
        <c:auto val="1"/>
        <c:lblAlgn val="ctr"/>
        <c:lblOffset val="100"/>
        <c:noMultiLvlLbl val="0"/>
      </c:catAx>
      <c:valAx>
        <c:axId val="210052992"/>
        <c:scaling>
          <c:orientation val="minMax"/>
        </c:scaling>
        <c:delete val="0"/>
        <c:axPos val="b"/>
        <c:majorGridlines/>
        <c:numFmt formatCode="&quot;₹&quot;#,##0_);\(&quot;₹&quot;#,##0\)" sourceLinked="1"/>
        <c:majorTickMark val="out"/>
        <c:minorTickMark val="none"/>
        <c:tickLblPos val="nextTo"/>
        <c:crossAx val="171047168"/>
        <c:crosses val="autoZero"/>
        <c:crossBetween val="between"/>
      </c:valAx>
      <c:spPr>
        <a:effectLst>
          <a:glow rad="266700">
            <a:schemeClr val="accent1">
              <a:alpha val="24000"/>
            </a:schemeClr>
          </a:glow>
          <a:softEdge rad="0"/>
        </a:effectLst>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[Sales_Dataset.xlsx]Sheet1!PivotTable3</c:name>
    <c:fmtId val="0"/>
  </c:pivotSource>
  <c:chart>
    <c:title>
      <c:layout/>
      <c:overlay val="0"/>
    </c:title>
    <c:autoTitleDeleted val="0"/>
    <c:pivotFmts>
      <c:pivotFmt>
        <c:idx val="0"/>
      </c:pivotFmt>
    </c:pivotFmts>
    <c:plotArea>
      <c:layout>
        <c:manualLayout>
          <c:layoutTarget val="inner"/>
          <c:xMode val="edge"/>
          <c:yMode val="edge"/>
          <c:x val="1.6666666666666666E-2"/>
          <c:y val="0.21747703412073491"/>
          <c:w val="0.93888888888888888"/>
          <c:h val="0.53008493729950423"/>
        </c:manualLayout>
      </c:layout>
      <c:barChart>
        <c:barDir val="col"/>
        <c:grouping val="stacked"/>
        <c:varyColors val="0"/>
        <c:ser>
          <c:idx val="0"/>
          <c:order val="0"/>
          <c:tx>
            <c:strRef>
              <c:f>Sheet1!$H$3</c:f>
              <c:strCache>
                <c:ptCount val="1"/>
                <c:pt idx="0">
                  <c:v>Total</c:v>
                </c:pt>
              </c:strCache>
            </c:strRef>
          </c:tx>
          <c:invertIfNegative val="0"/>
          <c:cat>
            <c:strRef>
              <c:f>Sheet1!$G$4:$G$59</c:f>
              <c:strCache>
                <c:ptCount val="55"/>
                <c:pt idx="0">
                  <c:v>2024-01-05</c:v>
                </c:pt>
                <c:pt idx="1">
                  <c:v>2024-01-07</c:v>
                </c:pt>
                <c:pt idx="2">
                  <c:v>2024-01-10</c:v>
                </c:pt>
                <c:pt idx="3">
                  <c:v>2024-01-12</c:v>
                </c:pt>
                <c:pt idx="4">
                  <c:v>2024-01-15</c:v>
                </c:pt>
                <c:pt idx="5">
                  <c:v>2024-01-18</c:v>
                </c:pt>
                <c:pt idx="6">
                  <c:v>2024-01-20</c:v>
                </c:pt>
                <c:pt idx="7">
                  <c:v>2024-01-22</c:v>
                </c:pt>
                <c:pt idx="8">
                  <c:v>2024-01-25</c:v>
                </c:pt>
                <c:pt idx="9">
                  <c:v>2024-01-28</c:v>
                </c:pt>
                <c:pt idx="10">
                  <c:v>2024-02-02</c:v>
                </c:pt>
                <c:pt idx="11">
                  <c:v>2024-02-04</c:v>
                </c:pt>
                <c:pt idx="12">
                  <c:v>2024-02-06</c:v>
                </c:pt>
                <c:pt idx="13">
                  <c:v>2024-02-08</c:v>
                </c:pt>
                <c:pt idx="14">
                  <c:v>2024-02-10</c:v>
                </c:pt>
                <c:pt idx="15">
                  <c:v>2024-02-12</c:v>
                </c:pt>
                <c:pt idx="16">
                  <c:v>2024-02-15</c:v>
                </c:pt>
                <c:pt idx="17">
                  <c:v>2024-02-18</c:v>
                </c:pt>
                <c:pt idx="18">
                  <c:v>2024-02-20</c:v>
                </c:pt>
                <c:pt idx="19">
                  <c:v>2024-02-22</c:v>
                </c:pt>
                <c:pt idx="20">
                  <c:v>2024-02-25</c:v>
                </c:pt>
                <c:pt idx="21">
                  <c:v>2024-02-27</c:v>
                </c:pt>
                <c:pt idx="22">
                  <c:v>2024-03-01</c:v>
                </c:pt>
                <c:pt idx="23">
                  <c:v>2024-03-03</c:v>
                </c:pt>
                <c:pt idx="24">
                  <c:v>2024-03-05</c:v>
                </c:pt>
                <c:pt idx="25">
                  <c:v>2024-03-08</c:v>
                </c:pt>
                <c:pt idx="26">
                  <c:v>2024-03-10</c:v>
                </c:pt>
                <c:pt idx="27">
                  <c:v>2024-03-12</c:v>
                </c:pt>
                <c:pt idx="28">
                  <c:v>2024-03-15</c:v>
                </c:pt>
                <c:pt idx="29">
                  <c:v>2024-03-18</c:v>
                </c:pt>
                <c:pt idx="30">
                  <c:v>2024-03-20</c:v>
                </c:pt>
                <c:pt idx="31">
                  <c:v>2024-03-22</c:v>
                </c:pt>
                <c:pt idx="32">
                  <c:v>2024-03-25</c:v>
                </c:pt>
                <c:pt idx="33">
                  <c:v>2024-03-28</c:v>
                </c:pt>
                <c:pt idx="34">
                  <c:v>2024-03-30</c:v>
                </c:pt>
                <c:pt idx="35">
                  <c:v>2024-04-02</c:v>
                </c:pt>
                <c:pt idx="36">
                  <c:v>2024-04-04</c:v>
                </c:pt>
                <c:pt idx="37">
                  <c:v>2024-04-06</c:v>
                </c:pt>
                <c:pt idx="38">
                  <c:v>2024-04-08</c:v>
                </c:pt>
                <c:pt idx="39">
                  <c:v>2024-04-10</c:v>
                </c:pt>
                <c:pt idx="40">
                  <c:v>2024-04-12</c:v>
                </c:pt>
                <c:pt idx="41">
                  <c:v>2024-04-15</c:v>
                </c:pt>
                <c:pt idx="42">
                  <c:v>2024-04-18</c:v>
                </c:pt>
                <c:pt idx="43">
                  <c:v>2024-04-20</c:v>
                </c:pt>
                <c:pt idx="44">
                  <c:v>2024-04-22</c:v>
                </c:pt>
                <c:pt idx="45">
                  <c:v>2024-04-25</c:v>
                </c:pt>
                <c:pt idx="46">
                  <c:v>2024-04-27</c:v>
                </c:pt>
                <c:pt idx="47">
                  <c:v>2024-04-29</c:v>
                </c:pt>
                <c:pt idx="48">
                  <c:v>2024-05-02</c:v>
                </c:pt>
                <c:pt idx="49">
                  <c:v>2024-05-05</c:v>
                </c:pt>
                <c:pt idx="50">
                  <c:v>2024-05-07</c:v>
                </c:pt>
                <c:pt idx="51">
                  <c:v>2024-05-09</c:v>
                </c:pt>
                <c:pt idx="52">
                  <c:v>2024-05-11</c:v>
                </c:pt>
                <c:pt idx="53">
                  <c:v>2024-05-13</c:v>
                </c:pt>
                <c:pt idx="54">
                  <c:v>2024-05-15</c:v>
                </c:pt>
              </c:strCache>
            </c:strRef>
          </c:cat>
          <c:val>
            <c:numRef>
              <c:f>Sheet1!$H$4:$H$59</c:f>
              <c:numCache>
                <c:formatCode>"₹"#,##0_);\("₹"#,##0\)</c:formatCode>
                <c:ptCount val="55"/>
                <c:pt idx="0">
                  <c:v>55000</c:v>
                </c:pt>
                <c:pt idx="1">
                  <c:v>20000</c:v>
                </c:pt>
                <c:pt idx="2">
                  <c:v>4500</c:v>
                </c:pt>
                <c:pt idx="3">
                  <c:v>12000</c:v>
                </c:pt>
                <c:pt idx="4">
                  <c:v>15000</c:v>
                </c:pt>
                <c:pt idx="5">
                  <c:v>1200</c:v>
                </c:pt>
                <c:pt idx="6">
                  <c:v>500</c:v>
                </c:pt>
                <c:pt idx="7">
                  <c:v>18000</c:v>
                </c:pt>
                <c:pt idx="8">
                  <c:v>3000</c:v>
                </c:pt>
                <c:pt idx="9">
                  <c:v>1800</c:v>
                </c:pt>
                <c:pt idx="10">
                  <c:v>16000</c:v>
                </c:pt>
                <c:pt idx="11">
                  <c:v>45000</c:v>
                </c:pt>
                <c:pt idx="12">
                  <c:v>4000</c:v>
                </c:pt>
                <c:pt idx="13">
                  <c:v>900</c:v>
                </c:pt>
                <c:pt idx="14">
                  <c:v>3500</c:v>
                </c:pt>
                <c:pt idx="15">
                  <c:v>60000</c:v>
                </c:pt>
                <c:pt idx="16">
                  <c:v>22000</c:v>
                </c:pt>
                <c:pt idx="17">
                  <c:v>4800</c:v>
                </c:pt>
                <c:pt idx="18">
                  <c:v>13000</c:v>
                </c:pt>
                <c:pt idx="19">
                  <c:v>14500</c:v>
                </c:pt>
                <c:pt idx="20">
                  <c:v>1500</c:v>
                </c:pt>
                <c:pt idx="21">
                  <c:v>600</c:v>
                </c:pt>
                <c:pt idx="22">
                  <c:v>17500</c:v>
                </c:pt>
                <c:pt idx="23">
                  <c:v>3200</c:v>
                </c:pt>
                <c:pt idx="24">
                  <c:v>2000</c:v>
                </c:pt>
                <c:pt idx="25">
                  <c:v>15500</c:v>
                </c:pt>
                <c:pt idx="26">
                  <c:v>47000</c:v>
                </c:pt>
                <c:pt idx="27">
                  <c:v>4200</c:v>
                </c:pt>
                <c:pt idx="28">
                  <c:v>1000</c:v>
                </c:pt>
                <c:pt idx="29">
                  <c:v>3800</c:v>
                </c:pt>
                <c:pt idx="30">
                  <c:v>58000</c:v>
                </c:pt>
                <c:pt idx="31">
                  <c:v>21000</c:v>
                </c:pt>
                <c:pt idx="32">
                  <c:v>5000</c:v>
                </c:pt>
                <c:pt idx="33">
                  <c:v>12500</c:v>
                </c:pt>
                <c:pt idx="34">
                  <c:v>14800</c:v>
                </c:pt>
                <c:pt idx="35">
                  <c:v>1600</c:v>
                </c:pt>
                <c:pt idx="36">
                  <c:v>700</c:v>
                </c:pt>
                <c:pt idx="37">
                  <c:v>18500</c:v>
                </c:pt>
                <c:pt idx="38">
                  <c:v>3400</c:v>
                </c:pt>
                <c:pt idx="39">
                  <c:v>2100</c:v>
                </c:pt>
                <c:pt idx="40">
                  <c:v>16500</c:v>
                </c:pt>
                <c:pt idx="41">
                  <c:v>48000</c:v>
                </c:pt>
                <c:pt idx="42">
                  <c:v>4500</c:v>
                </c:pt>
                <c:pt idx="43">
                  <c:v>1100</c:v>
                </c:pt>
                <c:pt idx="44">
                  <c:v>4000</c:v>
                </c:pt>
                <c:pt idx="45">
                  <c:v>62000</c:v>
                </c:pt>
                <c:pt idx="46">
                  <c:v>23000</c:v>
                </c:pt>
                <c:pt idx="47">
                  <c:v>5200</c:v>
                </c:pt>
                <c:pt idx="48">
                  <c:v>13500</c:v>
                </c:pt>
                <c:pt idx="49">
                  <c:v>15500</c:v>
                </c:pt>
                <c:pt idx="50">
                  <c:v>1700</c:v>
                </c:pt>
                <c:pt idx="51">
                  <c:v>800</c:v>
                </c:pt>
                <c:pt idx="52">
                  <c:v>19000</c:v>
                </c:pt>
                <c:pt idx="53">
                  <c:v>3600</c:v>
                </c:pt>
                <c:pt idx="54">
                  <c:v>2200</c:v>
                </c:pt>
              </c:numCache>
            </c:numRef>
          </c:val>
        </c:ser>
        <c:dLbls>
          <c:dLblPos val="inBase"/>
          <c:showLegendKey val="0"/>
          <c:showVal val="0"/>
          <c:showCatName val="0"/>
          <c:showSerName val="0"/>
          <c:showPercent val="0"/>
          <c:showBubbleSize val="0"/>
        </c:dLbls>
        <c:gapWidth val="150"/>
        <c:overlap val="100"/>
        <c:axId val="170870656"/>
        <c:axId val="170876928"/>
      </c:barChart>
      <c:catAx>
        <c:axId val="170870656"/>
        <c:scaling>
          <c:orientation val="minMax"/>
        </c:scaling>
        <c:delete val="0"/>
        <c:axPos val="b"/>
        <c:majorTickMark val="none"/>
        <c:minorTickMark val="none"/>
        <c:tickLblPos val="nextTo"/>
        <c:crossAx val="170876928"/>
        <c:crosses val="autoZero"/>
        <c:auto val="1"/>
        <c:lblAlgn val="ctr"/>
        <c:lblOffset val="100"/>
        <c:noMultiLvlLbl val="0"/>
      </c:catAx>
      <c:valAx>
        <c:axId val="170876928"/>
        <c:scaling>
          <c:orientation val="minMax"/>
        </c:scaling>
        <c:delete val="1"/>
        <c:axPos val="l"/>
        <c:numFmt formatCode="&quot;₹&quot;#,##0_);\(&quot;₹&quot;#,##0\)" sourceLinked="1"/>
        <c:majorTickMark val="none"/>
        <c:minorTickMark val="none"/>
        <c:tickLblPos val="nextTo"/>
        <c:crossAx val="1708706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7"/>
    </mc:Choice>
    <mc:Fallback>
      <c:style val="47"/>
    </mc:Fallback>
  </mc:AlternateContent>
  <c:pivotSource>
    <c:name>[Sales_Dataset.xlsx]Sheet1!PivotTable5</c:name>
    <c:fmtId val="0"/>
  </c:pivotSource>
  <c:chart>
    <c:autoTitleDeleted val="1"/>
    <c:pivotFmts>
      <c:pivotFmt>
        <c:idx val="0"/>
        <c:dLbl>
          <c:idx val="0"/>
          <c:layout/>
          <c:spPr/>
          <c:txPr>
            <a:bodyPr/>
            <a:lstStyle/>
            <a:p>
              <a:pPr>
                <a:defRPr/>
              </a:pPr>
              <a:endParaRPr lang="en-US"/>
            </a:p>
          </c:txPr>
          <c:dLblPos val="t"/>
          <c:showLegendKey val="0"/>
          <c:showVal val="1"/>
          <c:showCatName val="0"/>
          <c:showSerName val="0"/>
          <c:showPercent val="0"/>
          <c:showBubbleSize val="0"/>
        </c:dLbl>
      </c:pivotFmt>
    </c:pivotFmts>
    <c:plotArea>
      <c:layout>
        <c:manualLayout>
          <c:layoutTarget val="inner"/>
          <c:xMode val="edge"/>
          <c:yMode val="edge"/>
          <c:x val="6.7699256342957134E-2"/>
          <c:y val="8.231262758821814E-2"/>
          <c:w val="0.91835542432195971"/>
          <c:h val="0.61471165062700484"/>
        </c:manualLayout>
      </c:layout>
      <c:lineChart>
        <c:grouping val="standard"/>
        <c:varyColors val="0"/>
        <c:ser>
          <c:idx val="0"/>
          <c:order val="0"/>
          <c:tx>
            <c:strRef>
              <c:f>Sheet1!$K$3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Sheet1!$J$4:$J$19</c:f>
              <c:strCache>
                <c:ptCount val="15"/>
                <c:pt idx="0">
                  <c:v>Calculator</c:v>
                </c:pt>
                <c:pt idx="1">
                  <c:v>Chair</c:v>
                </c:pt>
                <c:pt idx="2">
                  <c:v>Desk</c:v>
                </c:pt>
                <c:pt idx="3">
                  <c:v>Headphones</c:v>
                </c:pt>
                <c:pt idx="4">
                  <c:v>Keyboard</c:v>
                </c:pt>
                <c:pt idx="5">
                  <c:v>Laptop</c:v>
                </c:pt>
                <c:pt idx="6">
                  <c:v>Mobile</c:v>
                </c:pt>
                <c:pt idx="7">
                  <c:v>Monitor</c:v>
                </c:pt>
                <c:pt idx="8">
                  <c:v>Mouse</c:v>
                </c:pt>
                <c:pt idx="9">
                  <c:v>Notebook</c:v>
                </c:pt>
                <c:pt idx="10">
                  <c:v>Pen</c:v>
                </c:pt>
                <c:pt idx="11">
                  <c:v>Printer</c:v>
                </c:pt>
                <c:pt idx="12">
                  <c:v>Sofa</c:v>
                </c:pt>
                <c:pt idx="13">
                  <c:v>Table</c:v>
                </c:pt>
                <c:pt idx="14">
                  <c:v>Whiteboard</c:v>
                </c:pt>
              </c:strCache>
            </c:strRef>
          </c:cat>
          <c:val>
            <c:numRef>
              <c:f>Sheet1!$K$4:$K$19</c:f>
              <c:numCache>
                <c:formatCode>General</c:formatCode>
                <c:ptCount val="15"/>
                <c:pt idx="0">
                  <c:v>17</c:v>
                </c:pt>
                <c:pt idx="1">
                  <c:v>17</c:v>
                </c:pt>
                <c:pt idx="2">
                  <c:v>6</c:v>
                </c:pt>
                <c:pt idx="3">
                  <c:v>9</c:v>
                </c:pt>
                <c:pt idx="4">
                  <c:v>16</c:v>
                </c:pt>
                <c:pt idx="5">
                  <c:v>8</c:v>
                </c:pt>
                <c:pt idx="6">
                  <c:v>10</c:v>
                </c:pt>
                <c:pt idx="7">
                  <c:v>8</c:v>
                </c:pt>
                <c:pt idx="8">
                  <c:v>21</c:v>
                </c:pt>
                <c:pt idx="9">
                  <c:v>51</c:v>
                </c:pt>
                <c:pt idx="10">
                  <c:v>130</c:v>
                </c:pt>
                <c:pt idx="11">
                  <c:v>4</c:v>
                </c:pt>
                <c:pt idx="12">
                  <c:v>3</c:v>
                </c:pt>
                <c:pt idx="13">
                  <c:v>8</c:v>
                </c:pt>
                <c:pt idx="14">
                  <c:v>6</c:v>
                </c:pt>
              </c:numCache>
            </c:numRef>
          </c:val>
          <c:smooth val="0"/>
        </c:ser>
        <c:dLbls>
          <c:dLblPos val="t"/>
          <c:showLegendKey val="0"/>
          <c:showVal val="1"/>
          <c:showCatName val="0"/>
          <c:showSerName val="0"/>
          <c:showPercent val="0"/>
          <c:showBubbleSize val="0"/>
        </c:dLbls>
        <c:marker val="1"/>
        <c:smooth val="0"/>
        <c:axId val="206983552"/>
        <c:axId val="206985088"/>
      </c:lineChart>
      <c:catAx>
        <c:axId val="206983552"/>
        <c:scaling>
          <c:orientation val="minMax"/>
        </c:scaling>
        <c:delete val="0"/>
        <c:axPos val="b"/>
        <c:majorTickMark val="out"/>
        <c:minorTickMark val="none"/>
        <c:tickLblPos val="nextTo"/>
        <c:crossAx val="206985088"/>
        <c:crosses val="autoZero"/>
        <c:auto val="1"/>
        <c:lblAlgn val="ctr"/>
        <c:lblOffset val="100"/>
        <c:noMultiLvlLbl val="0"/>
      </c:catAx>
      <c:valAx>
        <c:axId val="206985088"/>
        <c:scaling>
          <c:orientation val="minMax"/>
        </c:scaling>
        <c:delete val="1"/>
        <c:axPos val="l"/>
        <c:majorGridlines/>
        <c:numFmt formatCode="General" sourceLinked="1"/>
        <c:majorTickMark val="out"/>
        <c:minorTickMark val="none"/>
        <c:tickLblPos val="nextTo"/>
        <c:crossAx val="206983552"/>
        <c:crosses val="autoZero"/>
        <c:crossBetween val="between"/>
      </c:valAx>
      <c:spPr>
        <a:solidFill>
          <a:schemeClr val="accent1"/>
        </a:solidFill>
      </c:spPr>
    </c:plotArea>
    <c:plotVisOnly val="1"/>
    <c:dispBlanksAs val="gap"/>
    <c:showDLblsOverMax val="0"/>
  </c:chart>
  <c:spPr>
    <a:gradFill>
      <a:gsLst>
        <a:gs pos="89150">
          <a:schemeClr val="tx1">
            <a:lumMod val="65000"/>
            <a:lumOff val="35000"/>
          </a:schemeClr>
        </a:gs>
        <a:gs pos="0">
          <a:schemeClr val="tx1">
            <a:lumMod val="75000"/>
            <a:lumOff val="25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7"/>
    </mc:Choice>
    <mc:Fallback>
      <c:style val="47"/>
    </mc:Fallback>
  </mc:AlternateContent>
  <c:pivotSource>
    <c:name>[Sales_Dataset.xlsx]Sheet1!PivotTable5</c:name>
    <c:fmtId val="2"/>
  </c:pivotSource>
  <c:chart>
    <c:autoTitleDeleted val="1"/>
    <c:pivotFmts>
      <c:pivotFmt>
        <c:idx val="0"/>
        <c:dLbl>
          <c:idx val="0"/>
          <c:spPr/>
          <c:txPr>
            <a:bodyPr/>
            <a:lstStyle/>
            <a:p>
              <a:pPr>
                <a:defRPr/>
              </a:pPr>
              <a:endParaRPr lang="en-US"/>
            </a:p>
          </c:txPr>
          <c:dLblPos val="t"/>
          <c:showLegendKey val="0"/>
          <c:showVal val="1"/>
          <c:showCatName val="0"/>
          <c:showSerName val="0"/>
          <c:showPercent val="0"/>
          <c:showBubbleSize val="0"/>
        </c:dLbl>
      </c:pivotFmt>
      <c:pivotFmt>
        <c:idx val="1"/>
        <c:dLbl>
          <c:idx val="0"/>
          <c:spPr/>
          <c:txPr>
            <a:bodyPr/>
            <a:lstStyle/>
            <a:p>
              <a:pPr>
                <a:defRPr/>
              </a:pPr>
              <a:endParaRPr lang="en-US"/>
            </a:p>
          </c:txPr>
          <c:dLblPos val="t"/>
          <c:showLegendKey val="0"/>
          <c:showVal val="1"/>
          <c:showCatName val="0"/>
          <c:showSerName val="0"/>
          <c:showPercent val="0"/>
          <c:showBubbleSize val="0"/>
        </c:dLbl>
      </c:pivotFmt>
      <c:pivotFmt>
        <c:idx val="2"/>
        <c:dLbl>
          <c:idx val="0"/>
          <c:layout/>
          <c:spPr/>
          <c:txPr>
            <a:bodyPr/>
            <a:lstStyle/>
            <a:p>
              <a:pPr>
                <a:defRPr/>
              </a:pPr>
              <a:endParaRPr lang="en-US"/>
            </a:p>
          </c:txPr>
          <c:dLblPos val="t"/>
          <c:showLegendKey val="0"/>
          <c:showVal val="1"/>
          <c:showCatName val="0"/>
          <c:showSerName val="0"/>
          <c:showPercent val="0"/>
          <c:showBubbleSize val="0"/>
        </c:dLbl>
      </c:pivotFmt>
    </c:pivotFmts>
    <c:plotArea>
      <c:layout>
        <c:manualLayout>
          <c:layoutTarget val="inner"/>
          <c:xMode val="edge"/>
          <c:yMode val="edge"/>
          <c:x val="7.0623474631337377E-2"/>
          <c:y val="3.0927655160743538E-2"/>
          <c:w val="0.919327916701008"/>
          <c:h val="0.66109475961817454"/>
        </c:manualLayout>
      </c:layout>
      <c:lineChart>
        <c:grouping val="standard"/>
        <c:varyColors val="0"/>
        <c:ser>
          <c:idx val="0"/>
          <c:order val="0"/>
          <c:tx>
            <c:strRef>
              <c:f>Sheet1!$K$3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Sheet1!$J$4:$J$19</c:f>
              <c:strCache>
                <c:ptCount val="15"/>
                <c:pt idx="0">
                  <c:v>Calculator</c:v>
                </c:pt>
                <c:pt idx="1">
                  <c:v>Chair</c:v>
                </c:pt>
                <c:pt idx="2">
                  <c:v>Desk</c:v>
                </c:pt>
                <c:pt idx="3">
                  <c:v>Headphones</c:v>
                </c:pt>
                <c:pt idx="4">
                  <c:v>Keyboard</c:v>
                </c:pt>
                <c:pt idx="5">
                  <c:v>Laptop</c:v>
                </c:pt>
                <c:pt idx="6">
                  <c:v>Mobile</c:v>
                </c:pt>
                <c:pt idx="7">
                  <c:v>Monitor</c:v>
                </c:pt>
                <c:pt idx="8">
                  <c:v>Mouse</c:v>
                </c:pt>
                <c:pt idx="9">
                  <c:v>Notebook</c:v>
                </c:pt>
                <c:pt idx="10">
                  <c:v>Pen</c:v>
                </c:pt>
                <c:pt idx="11">
                  <c:v>Printer</c:v>
                </c:pt>
                <c:pt idx="12">
                  <c:v>Sofa</c:v>
                </c:pt>
                <c:pt idx="13">
                  <c:v>Table</c:v>
                </c:pt>
                <c:pt idx="14">
                  <c:v>Whiteboard</c:v>
                </c:pt>
              </c:strCache>
            </c:strRef>
          </c:cat>
          <c:val>
            <c:numRef>
              <c:f>Sheet1!$K$4:$K$19</c:f>
              <c:numCache>
                <c:formatCode>General</c:formatCode>
                <c:ptCount val="15"/>
                <c:pt idx="0">
                  <c:v>17</c:v>
                </c:pt>
                <c:pt idx="1">
                  <c:v>17</c:v>
                </c:pt>
                <c:pt idx="2">
                  <c:v>6</c:v>
                </c:pt>
                <c:pt idx="3">
                  <c:v>9</c:v>
                </c:pt>
                <c:pt idx="4">
                  <c:v>16</c:v>
                </c:pt>
                <c:pt idx="5">
                  <c:v>8</c:v>
                </c:pt>
                <c:pt idx="6">
                  <c:v>10</c:v>
                </c:pt>
                <c:pt idx="7">
                  <c:v>8</c:v>
                </c:pt>
                <c:pt idx="8">
                  <c:v>21</c:v>
                </c:pt>
                <c:pt idx="9">
                  <c:v>51</c:v>
                </c:pt>
                <c:pt idx="10">
                  <c:v>130</c:v>
                </c:pt>
                <c:pt idx="11">
                  <c:v>4</c:v>
                </c:pt>
                <c:pt idx="12">
                  <c:v>3</c:v>
                </c:pt>
                <c:pt idx="13">
                  <c:v>8</c:v>
                </c:pt>
                <c:pt idx="14">
                  <c:v>6</c:v>
                </c:pt>
              </c:numCache>
            </c:numRef>
          </c:val>
          <c:smooth val="0"/>
        </c:ser>
        <c:dLbls>
          <c:dLblPos val="t"/>
          <c:showLegendKey val="0"/>
          <c:showVal val="1"/>
          <c:showCatName val="0"/>
          <c:showSerName val="0"/>
          <c:showPercent val="0"/>
          <c:showBubbleSize val="0"/>
        </c:dLbls>
        <c:marker val="1"/>
        <c:smooth val="0"/>
        <c:axId val="236325120"/>
        <c:axId val="236351488"/>
      </c:lineChart>
      <c:catAx>
        <c:axId val="236325120"/>
        <c:scaling>
          <c:orientation val="minMax"/>
        </c:scaling>
        <c:delete val="0"/>
        <c:axPos val="b"/>
        <c:majorTickMark val="out"/>
        <c:minorTickMark val="none"/>
        <c:tickLblPos val="nextTo"/>
        <c:crossAx val="236351488"/>
        <c:crosses val="autoZero"/>
        <c:auto val="1"/>
        <c:lblAlgn val="ctr"/>
        <c:lblOffset val="100"/>
        <c:noMultiLvlLbl val="0"/>
      </c:catAx>
      <c:valAx>
        <c:axId val="236351488"/>
        <c:scaling>
          <c:orientation val="minMax"/>
        </c:scaling>
        <c:delete val="1"/>
        <c:axPos val="l"/>
        <c:majorGridlines/>
        <c:numFmt formatCode="General" sourceLinked="1"/>
        <c:majorTickMark val="out"/>
        <c:minorTickMark val="none"/>
        <c:tickLblPos val="nextTo"/>
        <c:crossAx val="236325120"/>
        <c:crosses val="autoZero"/>
        <c:crossBetween val="between"/>
      </c:valAx>
      <c:spPr>
        <a:solidFill>
          <a:schemeClr val="accent1"/>
        </a:solidFill>
      </c:spPr>
    </c:plotArea>
    <c:plotVisOnly val="1"/>
    <c:dispBlanksAs val="gap"/>
    <c:showDLblsOverMax val="0"/>
  </c:chart>
  <c:spPr>
    <a:gradFill>
      <a:gsLst>
        <a:gs pos="5000">
          <a:schemeClr val="accent4">
            <a:lumMod val="60000"/>
            <a:lumOff val="40000"/>
          </a:schemeClr>
        </a:gs>
        <a:gs pos="89150">
          <a:schemeClr val="accent4">
            <a:lumMod val="60000"/>
            <a:lumOff val="40000"/>
          </a:schemeClr>
        </a:gs>
        <a:gs pos="0">
          <a:schemeClr val="accent4">
            <a:lumMod val="59000"/>
            <a:lumOff val="41000"/>
          </a:schemeClr>
        </a:gs>
        <a:gs pos="50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[Sales_Dataset.xlsx]Sheet1!PivotTable1</c:name>
    <c:fmtId val="2"/>
  </c:pivotSource>
  <c:chart>
    <c:title>
      <c:tx>
        <c:rich>
          <a:bodyPr/>
          <a:lstStyle/>
          <a:p>
            <a:pPr>
              <a:defRPr>
                <a:solidFill>
                  <a:schemeClr val="bg1">
                    <a:lumMod val="95000"/>
                  </a:schemeClr>
                </a:solidFill>
              </a:defRPr>
            </a:pPr>
            <a:r>
              <a:rPr lang="en-IN">
                <a:solidFill>
                  <a:schemeClr val="bg1">
                    <a:lumMod val="95000"/>
                  </a:schemeClr>
                </a:solidFill>
              </a:rPr>
              <a:t>SALES BY REGION</a:t>
            </a:r>
          </a:p>
        </c:rich>
      </c:tx>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0.11944444444444445"/>
              <c:y val="-4.1666666666666706E-2"/>
            </c:manualLayout>
          </c:layout>
          <c:showLegendKey val="0"/>
          <c:showVal val="1"/>
          <c:showCatName val="0"/>
          <c:showSerName val="0"/>
          <c:showPercent val="0"/>
          <c:showBubbleSize val="0"/>
        </c:dLbl>
      </c:pivotFmt>
      <c:pivotFmt>
        <c:idx val="2"/>
        <c:dLbl>
          <c:idx val="0"/>
          <c:layout>
            <c:manualLayout>
              <c:x val="-0.13055555555555554"/>
              <c:y val="-4.6296296296296294E-2"/>
            </c:manualLayout>
          </c:layout>
          <c:showLegendKey val="0"/>
          <c:showVal val="1"/>
          <c:showCatName val="0"/>
          <c:showSerName val="0"/>
          <c:showPercent val="0"/>
          <c:showBubbleSize val="0"/>
        </c:dLbl>
      </c:pivotFmt>
      <c:pivotFmt>
        <c:idx val="3"/>
        <c:dLbl>
          <c:idx val="0"/>
          <c:layout>
            <c:manualLayout>
              <c:x val="-0.14444444444444443"/>
              <c:y val="2.3148148148148147E-2"/>
            </c:manualLayout>
          </c:layout>
          <c:showLegendKey val="0"/>
          <c:showVal val="1"/>
          <c:showCatName val="0"/>
          <c:showSerName val="0"/>
          <c:showPercent val="0"/>
          <c:showBubbleSize val="0"/>
        </c:dLbl>
      </c:pivotFmt>
      <c:pivotFmt>
        <c:idx val="4"/>
        <c:dLbl>
          <c:idx val="0"/>
          <c:layout>
            <c:manualLayout>
              <c:x val="0.1361111111111111"/>
              <c:y val="6.0185185185185272E-2"/>
            </c:manualLayout>
          </c:layout>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dLbl>
          <c:idx val="0"/>
          <c:layout>
            <c:manualLayout>
              <c:x val="0.1361111111111111"/>
              <c:y val="6.0185185185185272E-2"/>
            </c:manualLayout>
          </c:layout>
          <c:showLegendKey val="0"/>
          <c:showVal val="1"/>
          <c:showCatName val="0"/>
          <c:showSerName val="0"/>
          <c:showPercent val="0"/>
          <c:showBubbleSize val="0"/>
        </c:dLbl>
      </c:pivotFmt>
      <c:pivotFmt>
        <c:idx val="7"/>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8"/>
        <c:dLbl>
          <c:idx val="0"/>
          <c:layout>
            <c:manualLayout>
              <c:x val="0.16696066809821317"/>
              <c:y val="3.9220792190754375E-2"/>
            </c:manualLayout>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9"/>
        <c:dLbl>
          <c:idx val="0"/>
          <c:layout>
            <c:manualLayout>
              <c:x val="-0.16041741563754019"/>
              <c:y val="0"/>
            </c:manualLayout>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10"/>
        <c:dLbl>
          <c:idx val="0"/>
          <c:layout>
            <c:manualLayout>
              <c:x val="0.1480776144346525"/>
              <c:y val="1.0482098103359264E-2"/>
            </c:manualLayout>
          </c:layout>
          <c:tx>
            <c:rich>
              <a:bodyPr/>
              <a:lstStyle/>
              <a:p>
                <a:r>
                  <a:rPr lang="en-US"/>
                  <a:t>₹ </a:t>
                </a:r>
                <a:r>
                  <a:rPr lang="en-US">
                    <a:solidFill>
                      <a:schemeClr val="bg1"/>
                    </a:solidFill>
                  </a:rPr>
                  <a:t>2,09,600</a:t>
                </a:r>
              </a:p>
            </c:rich>
          </c:tx>
          <c:showLegendKey val="0"/>
          <c:showVal val="1"/>
          <c:showCatName val="0"/>
          <c:showSerName val="0"/>
          <c:showPercent val="0"/>
          <c:showBubbleSize val="0"/>
        </c:dLbl>
      </c:pivotFmt>
      <c:pivotFmt>
        <c:idx val="11"/>
        <c:dLbl>
          <c:idx val="0"/>
          <c:layout>
            <c:manualLayout>
              <c:x val="-0.15733246533681827"/>
              <c:y val="1.5723147155038898E-2"/>
            </c:manualLayout>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doughnutChart>
        <c:varyColors val="1"/>
        <c:ser>
          <c:idx val="0"/>
          <c:order val="0"/>
          <c:tx>
            <c:strRef>
              <c:f>Sheet1!$B$3</c:f>
              <c:strCache>
                <c:ptCount val="1"/>
                <c:pt idx="0">
                  <c:v>Total</c:v>
                </c:pt>
              </c:strCache>
            </c:strRef>
          </c:tx>
          <c:dLbls>
            <c:dLbl>
              <c:idx val="0"/>
              <c:layout>
                <c:manualLayout>
                  <c:x val="0.1480776144346525"/>
                  <c:y val="1.0482098103359264E-2"/>
                </c:manualLayout>
              </c:layout>
              <c:tx>
                <c:rich>
                  <a:bodyPr/>
                  <a:lstStyle/>
                  <a:p>
                    <a:r>
                      <a:rPr lang="en-US"/>
                      <a:t>₹ </a:t>
                    </a:r>
                    <a:r>
                      <a:rPr lang="en-US">
                        <a:solidFill>
                          <a:schemeClr val="bg1"/>
                        </a:solidFill>
                      </a:rPr>
                      <a:t>2,09,600</a:t>
                    </a:r>
                  </a:p>
                </c:rich>
              </c:tx>
              <c:showLegendKey val="0"/>
              <c:showVal val="1"/>
              <c:showCatName val="0"/>
              <c:showSerName val="0"/>
              <c:showPercent val="0"/>
              <c:showBubbleSize val="0"/>
            </c:dLbl>
            <c:dLbl>
              <c:idx val="1"/>
              <c:layout>
                <c:manualLayout>
                  <c:x val="0.16696066809821317"/>
                  <c:y val="3.9220792190754375E-2"/>
                </c:manualLayout>
              </c:layout>
              <c:spPr/>
              <c:txPr>
                <a:bodyPr/>
                <a:lstStyle/>
                <a:p>
                  <a:pPr>
                    <a:defRPr>
                      <a:solidFill>
                        <a:schemeClr val="bg1"/>
                      </a:solidFill>
                    </a:defRPr>
                  </a:pPr>
                  <a:endParaRPr lang="en-US"/>
                </a:p>
              </c:txPr>
              <c:showLegendKey val="0"/>
              <c:showVal val="1"/>
              <c:showCatName val="0"/>
              <c:showSerName val="0"/>
              <c:showPercent val="0"/>
              <c:showBubbleSize val="0"/>
            </c:dLbl>
            <c:dLbl>
              <c:idx val="2"/>
              <c:layout>
                <c:manualLayout>
                  <c:x val="-0.15733246533681827"/>
                  <c:y val="1.5723147155038898E-2"/>
                </c:manualLayout>
              </c:layout>
              <c:spPr/>
              <c:txPr>
                <a:bodyPr/>
                <a:lstStyle/>
                <a:p>
                  <a:pPr>
                    <a:defRPr>
                      <a:solidFill>
                        <a:schemeClr val="bg1"/>
                      </a:solidFill>
                    </a:defRPr>
                  </a:pPr>
                  <a:endParaRPr lang="en-US"/>
                </a:p>
              </c:txPr>
              <c:showLegendKey val="0"/>
              <c:showVal val="1"/>
              <c:showCatName val="0"/>
              <c:showSerName val="0"/>
              <c:showPercent val="0"/>
              <c:showBubbleSize val="0"/>
            </c:dLbl>
            <c:dLbl>
              <c:idx val="3"/>
              <c:layout>
                <c:manualLayout>
                  <c:x val="-0.16041741563754019"/>
                  <c:y val="0"/>
                </c:manualLayout>
              </c:layout>
              <c:spPr/>
              <c:txPr>
                <a:bodyPr/>
                <a:lstStyle/>
                <a:p>
                  <a:pPr>
                    <a:defRPr>
                      <a:solidFill>
                        <a:schemeClr val="bg1"/>
                      </a:solidFill>
                    </a:defRPr>
                  </a:pPr>
                  <a:endParaRPr lang="en-US"/>
                </a:p>
              </c:txPr>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1"/>
          </c:dLbls>
          <c:cat>
            <c:strRef>
              <c:f>Sheet1!$A$4:$A$8</c:f>
              <c:strCache>
                <c:ptCount val="4"/>
                <c:pt idx="0">
                  <c:v>East</c:v>
                </c:pt>
                <c:pt idx="1">
                  <c:v>North</c:v>
                </c:pt>
                <c:pt idx="2">
                  <c:v>South</c:v>
                </c:pt>
                <c:pt idx="3">
                  <c:v>West</c:v>
                </c:pt>
              </c:strCache>
            </c:strRef>
          </c:cat>
          <c:val>
            <c:numRef>
              <c:f>Sheet1!$B$4:$B$8</c:f>
              <c:numCache>
                <c:formatCode>"₹"#,##0_);\("₹"#,##0\)</c:formatCode>
                <c:ptCount val="4"/>
                <c:pt idx="0">
                  <c:v>209600</c:v>
                </c:pt>
                <c:pt idx="1">
                  <c:v>162200</c:v>
                </c:pt>
                <c:pt idx="2">
                  <c:v>208700</c:v>
                </c:pt>
                <c:pt idx="3">
                  <c:v>188700</c:v>
                </c:pt>
              </c:numCache>
            </c:numRef>
          </c:val>
        </c:ser>
        <c:dLbls>
          <c:showLegendKey val="0"/>
          <c:showVal val="1"/>
          <c:showCatName val="0"/>
          <c:showSerName val="0"/>
          <c:showPercent val="0"/>
          <c:showBubbleSize val="0"/>
          <c:showLeaderLines val="1"/>
        </c:dLbls>
        <c:firstSliceAng val="0"/>
        <c:holeSize val="59"/>
      </c:doughnutChart>
    </c:plotArea>
    <c:legend>
      <c:legendPos val="b"/>
      <c:layout/>
      <c:overlay val="0"/>
      <c:txPr>
        <a:bodyPr/>
        <a:lstStyle/>
        <a:p>
          <a:pPr>
            <a:defRPr>
              <a:solidFill>
                <a:schemeClr val="bg1"/>
              </a:solidFill>
            </a:defRPr>
          </a:pPr>
          <a:endParaRPr lang="en-US"/>
        </a:p>
      </c:txPr>
    </c:legend>
    <c:plotVisOnly val="1"/>
    <c:dispBlanksAs val="gap"/>
    <c:showDLblsOverMax val="0"/>
  </c:chart>
  <c:spPr>
    <a:solidFill>
      <a:schemeClr val="accent4">
        <a:lumMod val="5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[Sales_Dataset.xlsx]Sheet1!PivotTable2</c:name>
    <c:fmtId val="2"/>
  </c:pivotSource>
  <c:chart>
    <c:autoTitleDeleted val="1"/>
    <c:pivotFmts>
      <c:pivotFmt>
        <c:idx val="0"/>
        <c:marker>
          <c:symbol val="none"/>
        </c:marker>
        <c:dLbl>
          <c:idx val="0"/>
          <c:spPr/>
          <c:txPr>
            <a:bodyPr/>
            <a:lstStyle/>
            <a:p>
              <a:pPr>
                <a:defRPr b="1"/>
              </a:pPr>
              <a:endParaRPr lang="en-US"/>
            </a:p>
          </c:txPr>
          <c:showLegendKey val="0"/>
          <c:showVal val="1"/>
          <c:showCatName val="0"/>
          <c:showSerName val="0"/>
          <c:showPercent val="0"/>
          <c:showBubbleSize val="0"/>
        </c:dLbl>
      </c:pivotFmt>
      <c:pivotFmt>
        <c:idx val="1"/>
        <c:marker>
          <c:symbol val="none"/>
        </c:marker>
        <c:dLbl>
          <c:idx val="0"/>
          <c:spPr/>
          <c:txPr>
            <a:bodyPr/>
            <a:lstStyle/>
            <a:p>
              <a:pPr>
                <a:defRPr b="1"/>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8640594925634296"/>
          <c:y val="6.3678550597841943E-2"/>
          <c:w val="0.71534405074365703"/>
          <c:h val="0.84348972003499567"/>
        </c:manualLayout>
      </c:layout>
      <c:barChart>
        <c:barDir val="bar"/>
        <c:grouping val="clustered"/>
        <c:varyColors val="0"/>
        <c:ser>
          <c:idx val="0"/>
          <c:order val="0"/>
          <c:tx>
            <c:strRef>
              <c:f>Sheet1!$E$3</c:f>
              <c:strCache>
                <c:ptCount val="1"/>
                <c:pt idx="0">
                  <c:v>Total</c:v>
                </c:pt>
              </c:strCache>
            </c:strRef>
          </c:tx>
          <c:invertIfNegative val="0"/>
          <c:dLbls>
            <c:spPr/>
            <c:txPr>
              <a:bodyPr/>
              <a:lstStyle/>
              <a:p>
                <a:pPr>
                  <a:defRPr b="1"/>
                </a:pPr>
                <a:endParaRPr lang="en-US"/>
              </a:p>
            </c:txPr>
            <c:showLegendKey val="0"/>
            <c:showVal val="1"/>
            <c:showCatName val="0"/>
            <c:showSerName val="0"/>
            <c:showPercent val="0"/>
            <c:showBubbleSize val="0"/>
            <c:showLeaderLines val="0"/>
          </c:dLbls>
          <c:cat>
            <c:strRef>
              <c:f>Sheet1!$D$4:$D$19</c:f>
              <c:strCache>
                <c:ptCount val="15"/>
                <c:pt idx="0">
                  <c:v>Calculator</c:v>
                </c:pt>
                <c:pt idx="1">
                  <c:v>Chair</c:v>
                </c:pt>
                <c:pt idx="2">
                  <c:v>Desk</c:v>
                </c:pt>
                <c:pt idx="3">
                  <c:v>Headphones</c:v>
                </c:pt>
                <c:pt idx="4">
                  <c:v>Keyboard</c:v>
                </c:pt>
                <c:pt idx="5">
                  <c:v>Laptop</c:v>
                </c:pt>
                <c:pt idx="6">
                  <c:v>Mobile</c:v>
                </c:pt>
                <c:pt idx="7">
                  <c:v>Monitor</c:v>
                </c:pt>
                <c:pt idx="8">
                  <c:v>Mouse</c:v>
                </c:pt>
                <c:pt idx="9">
                  <c:v>Notebook</c:v>
                </c:pt>
                <c:pt idx="10">
                  <c:v>Pen</c:v>
                </c:pt>
                <c:pt idx="11">
                  <c:v>Printer</c:v>
                </c:pt>
                <c:pt idx="12">
                  <c:v>Sofa</c:v>
                </c:pt>
                <c:pt idx="13">
                  <c:v>Table</c:v>
                </c:pt>
                <c:pt idx="14">
                  <c:v>Whiteboard</c:v>
                </c:pt>
              </c:strCache>
            </c:strRef>
          </c:cat>
          <c:val>
            <c:numRef>
              <c:f>Sheet1!$E$4:$E$19</c:f>
              <c:numCache>
                <c:formatCode>"₹"#,##0_);\("₹"#,##0\)</c:formatCode>
                <c:ptCount val="15"/>
                <c:pt idx="0">
                  <c:v>3000</c:v>
                </c:pt>
                <c:pt idx="1">
                  <c:v>19500</c:v>
                </c:pt>
                <c:pt idx="2">
                  <c:v>48000</c:v>
                </c:pt>
                <c:pt idx="3">
                  <c:v>12700</c:v>
                </c:pt>
                <c:pt idx="4">
                  <c:v>13200</c:v>
                </c:pt>
                <c:pt idx="5">
                  <c:v>235000</c:v>
                </c:pt>
                <c:pt idx="6">
                  <c:v>86000</c:v>
                </c:pt>
                <c:pt idx="7">
                  <c:v>73000</c:v>
                </c:pt>
                <c:pt idx="8">
                  <c:v>8100</c:v>
                </c:pt>
                <c:pt idx="9">
                  <c:v>6000</c:v>
                </c:pt>
                <c:pt idx="10">
                  <c:v>2600</c:v>
                </c:pt>
                <c:pt idx="11">
                  <c:v>59800</c:v>
                </c:pt>
                <c:pt idx="12">
                  <c:v>140000</c:v>
                </c:pt>
                <c:pt idx="13">
                  <c:v>51000</c:v>
                </c:pt>
                <c:pt idx="14">
                  <c:v>11300</c:v>
                </c:pt>
              </c:numCache>
            </c:numRef>
          </c:val>
        </c:ser>
        <c:dLbls>
          <c:dLblPos val="outEnd"/>
          <c:showLegendKey val="0"/>
          <c:showVal val="1"/>
          <c:showCatName val="0"/>
          <c:showSerName val="0"/>
          <c:showPercent val="0"/>
          <c:showBubbleSize val="0"/>
        </c:dLbls>
        <c:gapWidth val="59"/>
        <c:axId val="236316160"/>
        <c:axId val="236435712"/>
      </c:barChart>
      <c:catAx>
        <c:axId val="236316160"/>
        <c:scaling>
          <c:orientation val="minMax"/>
        </c:scaling>
        <c:delete val="0"/>
        <c:axPos val="l"/>
        <c:majorTickMark val="out"/>
        <c:minorTickMark val="none"/>
        <c:tickLblPos val="nextTo"/>
        <c:crossAx val="236435712"/>
        <c:crosses val="autoZero"/>
        <c:auto val="1"/>
        <c:lblAlgn val="ctr"/>
        <c:lblOffset val="100"/>
        <c:noMultiLvlLbl val="0"/>
      </c:catAx>
      <c:valAx>
        <c:axId val="236435712"/>
        <c:scaling>
          <c:orientation val="minMax"/>
        </c:scaling>
        <c:delete val="0"/>
        <c:axPos val="b"/>
        <c:majorGridlines/>
        <c:numFmt formatCode="&quot;₹&quot;#,##0_);\(&quot;₹&quot;#,##0\)" sourceLinked="1"/>
        <c:majorTickMark val="out"/>
        <c:minorTickMark val="none"/>
        <c:tickLblPos val="nextTo"/>
        <c:crossAx val="236316160"/>
        <c:crosses val="autoZero"/>
        <c:crossBetween val="between"/>
      </c:valAx>
      <c:spPr>
        <a:effectLst>
          <a:glow rad="266700">
            <a:schemeClr val="accent1">
              <a:alpha val="24000"/>
            </a:schemeClr>
          </a:glow>
          <a:softEdge rad="0"/>
        </a:effectLst>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[Sales_Dataset.xlsx]Sheet1!PivotTable3</c:name>
    <c:fmtId val="2"/>
  </c:pivotSource>
  <c:chart>
    <c:title>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stacked"/>
        <c:varyColors val="0"/>
        <c:ser>
          <c:idx val="0"/>
          <c:order val="0"/>
          <c:tx>
            <c:strRef>
              <c:f>Sheet1!$H$3</c:f>
              <c:strCache>
                <c:ptCount val="1"/>
                <c:pt idx="0">
                  <c:v>Total</c:v>
                </c:pt>
              </c:strCache>
            </c:strRef>
          </c:tx>
          <c:invertIfNegative val="0"/>
          <c:cat>
            <c:strRef>
              <c:f>Sheet1!$G$4:$G$59</c:f>
              <c:strCache>
                <c:ptCount val="55"/>
                <c:pt idx="0">
                  <c:v>2024-01-05</c:v>
                </c:pt>
                <c:pt idx="1">
                  <c:v>2024-01-07</c:v>
                </c:pt>
                <c:pt idx="2">
                  <c:v>2024-01-10</c:v>
                </c:pt>
                <c:pt idx="3">
                  <c:v>2024-01-12</c:v>
                </c:pt>
                <c:pt idx="4">
                  <c:v>2024-01-15</c:v>
                </c:pt>
                <c:pt idx="5">
                  <c:v>2024-01-18</c:v>
                </c:pt>
                <c:pt idx="6">
                  <c:v>2024-01-20</c:v>
                </c:pt>
                <c:pt idx="7">
                  <c:v>2024-01-22</c:v>
                </c:pt>
                <c:pt idx="8">
                  <c:v>2024-01-25</c:v>
                </c:pt>
                <c:pt idx="9">
                  <c:v>2024-01-28</c:v>
                </c:pt>
                <c:pt idx="10">
                  <c:v>2024-02-02</c:v>
                </c:pt>
                <c:pt idx="11">
                  <c:v>2024-02-04</c:v>
                </c:pt>
                <c:pt idx="12">
                  <c:v>2024-02-06</c:v>
                </c:pt>
                <c:pt idx="13">
                  <c:v>2024-02-08</c:v>
                </c:pt>
                <c:pt idx="14">
                  <c:v>2024-02-10</c:v>
                </c:pt>
                <c:pt idx="15">
                  <c:v>2024-02-12</c:v>
                </c:pt>
                <c:pt idx="16">
                  <c:v>2024-02-15</c:v>
                </c:pt>
                <c:pt idx="17">
                  <c:v>2024-02-18</c:v>
                </c:pt>
                <c:pt idx="18">
                  <c:v>2024-02-20</c:v>
                </c:pt>
                <c:pt idx="19">
                  <c:v>2024-02-22</c:v>
                </c:pt>
                <c:pt idx="20">
                  <c:v>2024-02-25</c:v>
                </c:pt>
                <c:pt idx="21">
                  <c:v>2024-02-27</c:v>
                </c:pt>
                <c:pt idx="22">
                  <c:v>2024-03-01</c:v>
                </c:pt>
                <c:pt idx="23">
                  <c:v>2024-03-03</c:v>
                </c:pt>
                <c:pt idx="24">
                  <c:v>2024-03-05</c:v>
                </c:pt>
                <c:pt idx="25">
                  <c:v>2024-03-08</c:v>
                </c:pt>
                <c:pt idx="26">
                  <c:v>2024-03-10</c:v>
                </c:pt>
                <c:pt idx="27">
                  <c:v>2024-03-12</c:v>
                </c:pt>
                <c:pt idx="28">
                  <c:v>2024-03-15</c:v>
                </c:pt>
                <c:pt idx="29">
                  <c:v>2024-03-18</c:v>
                </c:pt>
                <c:pt idx="30">
                  <c:v>2024-03-20</c:v>
                </c:pt>
                <c:pt idx="31">
                  <c:v>2024-03-22</c:v>
                </c:pt>
                <c:pt idx="32">
                  <c:v>2024-03-25</c:v>
                </c:pt>
                <c:pt idx="33">
                  <c:v>2024-03-28</c:v>
                </c:pt>
                <c:pt idx="34">
                  <c:v>2024-03-30</c:v>
                </c:pt>
                <c:pt idx="35">
                  <c:v>2024-04-02</c:v>
                </c:pt>
                <c:pt idx="36">
                  <c:v>2024-04-04</c:v>
                </c:pt>
                <c:pt idx="37">
                  <c:v>2024-04-06</c:v>
                </c:pt>
                <c:pt idx="38">
                  <c:v>2024-04-08</c:v>
                </c:pt>
                <c:pt idx="39">
                  <c:v>2024-04-10</c:v>
                </c:pt>
                <c:pt idx="40">
                  <c:v>2024-04-12</c:v>
                </c:pt>
                <c:pt idx="41">
                  <c:v>2024-04-15</c:v>
                </c:pt>
                <c:pt idx="42">
                  <c:v>2024-04-18</c:v>
                </c:pt>
                <c:pt idx="43">
                  <c:v>2024-04-20</c:v>
                </c:pt>
                <c:pt idx="44">
                  <c:v>2024-04-22</c:v>
                </c:pt>
                <c:pt idx="45">
                  <c:v>2024-04-25</c:v>
                </c:pt>
                <c:pt idx="46">
                  <c:v>2024-04-27</c:v>
                </c:pt>
                <c:pt idx="47">
                  <c:v>2024-04-29</c:v>
                </c:pt>
                <c:pt idx="48">
                  <c:v>2024-05-02</c:v>
                </c:pt>
                <c:pt idx="49">
                  <c:v>2024-05-05</c:v>
                </c:pt>
                <c:pt idx="50">
                  <c:v>2024-05-07</c:v>
                </c:pt>
                <c:pt idx="51">
                  <c:v>2024-05-09</c:v>
                </c:pt>
                <c:pt idx="52">
                  <c:v>2024-05-11</c:v>
                </c:pt>
                <c:pt idx="53">
                  <c:v>2024-05-13</c:v>
                </c:pt>
                <c:pt idx="54">
                  <c:v>2024-05-15</c:v>
                </c:pt>
              </c:strCache>
            </c:strRef>
          </c:cat>
          <c:val>
            <c:numRef>
              <c:f>Sheet1!$H$4:$H$59</c:f>
              <c:numCache>
                <c:formatCode>"₹"#,##0_);\("₹"#,##0\)</c:formatCode>
                <c:ptCount val="55"/>
                <c:pt idx="0">
                  <c:v>55000</c:v>
                </c:pt>
                <c:pt idx="1">
                  <c:v>20000</c:v>
                </c:pt>
                <c:pt idx="2">
                  <c:v>4500</c:v>
                </c:pt>
                <c:pt idx="3">
                  <c:v>12000</c:v>
                </c:pt>
                <c:pt idx="4">
                  <c:v>15000</c:v>
                </c:pt>
                <c:pt idx="5">
                  <c:v>1200</c:v>
                </c:pt>
                <c:pt idx="6">
                  <c:v>500</c:v>
                </c:pt>
                <c:pt idx="7">
                  <c:v>18000</c:v>
                </c:pt>
                <c:pt idx="8">
                  <c:v>3000</c:v>
                </c:pt>
                <c:pt idx="9">
                  <c:v>1800</c:v>
                </c:pt>
                <c:pt idx="10">
                  <c:v>16000</c:v>
                </c:pt>
                <c:pt idx="11">
                  <c:v>45000</c:v>
                </c:pt>
                <c:pt idx="12">
                  <c:v>4000</c:v>
                </c:pt>
                <c:pt idx="13">
                  <c:v>900</c:v>
                </c:pt>
                <c:pt idx="14">
                  <c:v>3500</c:v>
                </c:pt>
                <c:pt idx="15">
                  <c:v>60000</c:v>
                </c:pt>
                <c:pt idx="16">
                  <c:v>22000</c:v>
                </c:pt>
                <c:pt idx="17">
                  <c:v>4800</c:v>
                </c:pt>
                <c:pt idx="18">
                  <c:v>13000</c:v>
                </c:pt>
                <c:pt idx="19">
                  <c:v>14500</c:v>
                </c:pt>
                <c:pt idx="20">
                  <c:v>1500</c:v>
                </c:pt>
                <c:pt idx="21">
                  <c:v>600</c:v>
                </c:pt>
                <c:pt idx="22">
                  <c:v>17500</c:v>
                </c:pt>
                <c:pt idx="23">
                  <c:v>3200</c:v>
                </c:pt>
                <c:pt idx="24">
                  <c:v>2000</c:v>
                </c:pt>
                <c:pt idx="25">
                  <c:v>15500</c:v>
                </c:pt>
                <c:pt idx="26">
                  <c:v>47000</c:v>
                </c:pt>
                <c:pt idx="27">
                  <c:v>4200</c:v>
                </c:pt>
                <c:pt idx="28">
                  <c:v>1000</c:v>
                </c:pt>
                <c:pt idx="29">
                  <c:v>3800</c:v>
                </c:pt>
                <c:pt idx="30">
                  <c:v>58000</c:v>
                </c:pt>
                <c:pt idx="31">
                  <c:v>21000</c:v>
                </c:pt>
                <c:pt idx="32">
                  <c:v>5000</c:v>
                </c:pt>
                <c:pt idx="33">
                  <c:v>12500</c:v>
                </c:pt>
                <c:pt idx="34">
                  <c:v>14800</c:v>
                </c:pt>
                <c:pt idx="35">
                  <c:v>1600</c:v>
                </c:pt>
                <c:pt idx="36">
                  <c:v>700</c:v>
                </c:pt>
                <c:pt idx="37">
                  <c:v>18500</c:v>
                </c:pt>
                <c:pt idx="38">
                  <c:v>3400</c:v>
                </c:pt>
                <c:pt idx="39">
                  <c:v>2100</c:v>
                </c:pt>
                <c:pt idx="40">
                  <c:v>16500</c:v>
                </c:pt>
                <c:pt idx="41">
                  <c:v>48000</c:v>
                </c:pt>
                <c:pt idx="42">
                  <c:v>4500</c:v>
                </c:pt>
                <c:pt idx="43">
                  <c:v>1100</c:v>
                </c:pt>
                <c:pt idx="44">
                  <c:v>4000</c:v>
                </c:pt>
                <c:pt idx="45">
                  <c:v>62000</c:v>
                </c:pt>
                <c:pt idx="46">
                  <c:v>23000</c:v>
                </c:pt>
                <c:pt idx="47">
                  <c:v>5200</c:v>
                </c:pt>
                <c:pt idx="48">
                  <c:v>13500</c:v>
                </c:pt>
                <c:pt idx="49">
                  <c:v>15500</c:v>
                </c:pt>
                <c:pt idx="50">
                  <c:v>1700</c:v>
                </c:pt>
                <c:pt idx="51">
                  <c:v>800</c:v>
                </c:pt>
                <c:pt idx="52">
                  <c:v>19000</c:v>
                </c:pt>
                <c:pt idx="53">
                  <c:v>3600</c:v>
                </c:pt>
                <c:pt idx="54">
                  <c:v>2200</c:v>
                </c:pt>
              </c:numCache>
            </c:numRef>
          </c:val>
        </c:ser>
        <c:dLbls>
          <c:showLegendKey val="0"/>
          <c:showVal val="0"/>
          <c:showCatName val="0"/>
          <c:showSerName val="0"/>
          <c:showPercent val="0"/>
          <c:showBubbleSize val="0"/>
        </c:dLbls>
        <c:gapWidth val="150"/>
        <c:overlap val="100"/>
        <c:axId val="202442240"/>
        <c:axId val="202443776"/>
      </c:barChart>
      <c:catAx>
        <c:axId val="202442240"/>
        <c:scaling>
          <c:orientation val="minMax"/>
        </c:scaling>
        <c:delete val="0"/>
        <c:axPos val="b"/>
        <c:majorTickMark val="none"/>
        <c:minorTickMark val="none"/>
        <c:tickLblPos val="nextTo"/>
        <c:crossAx val="202443776"/>
        <c:crosses val="autoZero"/>
        <c:auto val="1"/>
        <c:lblAlgn val="ctr"/>
        <c:lblOffset val="100"/>
        <c:noMultiLvlLbl val="0"/>
      </c:catAx>
      <c:valAx>
        <c:axId val="202443776"/>
        <c:scaling>
          <c:orientation val="minMax"/>
        </c:scaling>
        <c:delete val="1"/>
        <c:axPos val="l"/>
        <c:numFmt formatCode="&quot;₹&quot;#,##0_);\(&quot;₹&quot;#,##0\)" sourceLinked="1"/>
        <c:majorTickMark val="none"/>
        <c:minorTickMark val="none"/>
        <c:tickLblPos val="nextTo"/>
        <c:crossAx val="2024422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5.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225425</xdr:colOff>
      <xdr:row>56</xdr:row>
      <xdr:rowOff>98425</xdr:rowOff>
    </xdr:from>
    <xdr:to>
      <xdr:col>10</xdr:col>
      <xdr:colOff>504825</xdr:colOff>
      <xdr:row>71</xdr:row>
      <xdr:rowOff>79375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320675</xdr:colOff>
      <xdr:row>56</xdr:row>
      <xdr:rowOff>130175</xdr:rowOff>
    </xdr:from>
    <xdr:to>
      <xdr:col>4</xdr:col>
      <xdr:colOff>1209675</xdr:colOff>
      <xdr:row>71</xdr:row>
      <xdr:rowOff>111125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39</xdr:row>
      <xdr:rowOff>85725</xdr:rowOff>
    </xdr:from>
    <xdr:to>
      <xdr:col>4</xdr:col>
      <xdr:colOff>1069975</xdr:colOff>
      <xdr:row>54</xdr:row>
      <xdr:rowOff>66675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168274</xdr:colOff>
      <xdr:row>40</xdr:row>
      <xdr:rowOff>22225</xdr:rowOff>
    </xdr:from>
    <xdr:to>
      <xdr:col>10</xdr:col>
      <xdr:colOff>590549</xdr:colOff>
      <xdr:row>55</xdr:row>
      <xdr:rowOff>3175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628650</xdr:colOff>
      <xdr:row>21</xdr:row>
      <xdr:rowOff>152400</xdr:rowOff>
    </xdr:from>
    <xdr:to>
      <xdr:col>2</xdr:col>
      <xdr:colOff>247650</xdr:colOff>
      <xdr:row>35</xdr:row>
      <xdr:rowOff>98425</xdr:rowOff>
    </xdr:to>
    <mc:AlternateContent xmlns:mc="http://schemas.openxmlformats.org/markup-compatibility/2006">
      <mc:Choice xmlns:a14="http://schemas.microsoft.com/office/drawing/2010/main" Requires="a14">
        <xdr:graphicFrame macro="">
          <xdr:nvGraphicFramePr>
            <xdr:cNvPr id="6"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628650" y="401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450850</xdr:colOff>
      <xdr:row>14</xdr:row>
      <xdr:rowOff>158751</xdr:rowOff>
    </xdr:from>
    <xdr:to>
      <xdr:col>2</xdr:col>
      <xdr:colOff>69850</xdr:colOff>
      <xdr:row>19</xdr:row>
      <xdr:rowOff>12700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0850" y="2736851"/>
              <a:ext cx="1828800" cy="7746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171450</xdr:colOff>
      <xdr:row>21</xdr:row>
      <xdr:rowOff>133350</xdr:rowOff>
    </xdr:from>
    <xdr:to>
      <xdr:col>4</xdr:col>
      <xdr:colOff>1136650</xdr:colOff>
      <xdr:row>35</xdr:row>
      <xdr:rowOff>79375</xdr:rowOff>
    </xdr:to>
    <mc:AlternateContent xmlns:mc="http://schemas.openxmlformats.org/markup-compatibility/2006">
      <mc:Choice xmlns:a14="http://schemas.microsoft.com/office/drawing/2010/main"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990850" y="400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107950</xdr:rowOff>
    </xdr:from>
    <xdr:to>
      <xdr:col>20</xdr:col>
      <xdr:colOff>408000</xdr:colOff>
      <xdr:row>4</xdr:row>
      <xdr:rowOff>19050</xdr:rowOff>
    </xdr:to>
    <xdr:sp macro="" textlink="">
      <xdr:nvSpPr>
        <xdr:cNvPr id="2" name="Rounded Rectangle 1"/>
        <xdr:cNvSpPr/>
      </xdr:nvSpPr>
      <xdr:spPr>
        <a:xfrm>
          <a:off x="0" y="107950"/>
          <a:ext cx="12631750" cy="641350"/>
        </a:xfrm>
        <a:prstGeom prst="roundRect">
          <a:avLst/>
        </a:prstGeom>
        <a:solidFill>
          <a:schemeClr val="accent4">
            <a:lumMod val="60000"/>
            <a:lumOff val="40000"/>
          </a:schemeClr>
        </a:solidFill>
        <a:ln>
          <a:solidFill>
            <a:schemeClr val="accent4">
              <a:lumMod val="60000"/>
              <a:lumOff val="4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xdr:colOff>
      <xdr:row>4</xdr:row>
      <xdr:rowOff>107950</xdr:rowOff>
    </xdr:from>
    <xdr:to>
      <xdr:col>3</xdr:col>
      <xdr:colOff>458250</xdr:colOff>
      <xdr:row>8</xdr:row>
      <xdr:rowOff>57150</xdr:rowOff>
    </xdr:to>
    <xdr:grpSp>
      <xdr:nvGrpSpPr>
        <xdr:cNvPr id="33" name="Group 32"/>
        <xdr:cNvGrpSpPr/>
      </xdr:nvGrpSpPr>
      <xdr:grpSpPr>
        <a:xfrm>
          <a:off x="19050" y="833664"/>
          <a:ext cx="2262557" cy="674915"/>
          <a:chOff x="19050" y="844550"/>
          <a:chExt cx="2268000" cy="685800"/>
        </a:xfrm>
      </xdr:grpSpPr>
      <xdr:sp macro="" textlink="">
        <xdr:nvSpPr>
          <xdr:cNvPr id="3" name="Rounded Rectangle 2"/>
          <xdr:cNvSpPr/>
        </xdr:nvSpPr>
        <xdr:spPr>
          <a:xfrm>
            <a:off x="19050" y="844550"/>
            <a:ext cx="2268000" cy="685800"/>
          </a:xfrm>
          <a:prstGeom prst="roundRect">
            <a:avLst/>
          </a:prstGeom>
          <a:solidFill>
            <a:schemeClr val="accent4">
              <a:lumMod val="60000"/>
              <a:lumOff val="40000"/>
            </a:schemeClr>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nvGrpSpPr>
          <xdr:cNvPr id="28" name="Group 27"/>
          <xdr:cNvGrpSpPr/>
        </xdr:nvGrpSpPr>
        <xdr:grpSpPr>
          <a:xfrm>
            <a:off x="25400" y="844550"/>
            <a:ext cx="2127250" cy="679450"/>
            <a:chOff x="25400" y="844550"/>
            <a:chExt cx="2127250" cy="679450"/>
          </a:xfrm>
        </xdr:grpSpPr>
        <xdr:sp macro="" textlink="">
          <xdr:nvSpPr>
            <xdr:cNvPr id="4" name="Rounded Rectangle 3"/>
            <xdr:cNvSpPr/>
          </xdr:nvSpPr>
          <xdr:spPr>
            <a:xfrm>
              <a:off x="25400" y="844550"/>
              <a:ext cx="596900" cy="679450"/>
            </a:xfrm>
            <a:prstGeom prst="roundRect">
              <a:avLst>
                <a:gd name="adj" fmla="val 18514"/>
              </a:avLst>
            </a:prstGeom>
            <a:ln>
              <a:solidFill>
                <a:schemeClr val="tx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5" name="TextBox 4"/>
            <xdr:cNvSpPr txBox="1"/>
          </xdr:nvSpPr>
          <xdr:spPr>
            <a:xfrm>
              <a:off x="762000" y="901700"/>
              <a:ext cx="1219200" cy="311496"/>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Total</a:t>
              </a:r>
              <a:r>
                <a:rPr lang="en-IN" sz="1400" b="1" baseline="0">
                  <a:solidFill>
                    <a:schemeClr val="bg1"/>
                  </a:solidFill>
                </a:rPr>
                <a:t> sales</a:t>
              </a:r>
              <a:endParaRPr lang="en-IN" sz="1400" b="1">
                <a:solidFill>
                  <a:schemeClr val="bg1"/>
                </a:solidFill>
              </a:endParaRPr>
            </a:p>
          </xdr:txBody>
        </xdr:sp>
        <xdr:sp macro="" textlink="Sales_Data!J3">
          <xdr:nvSpPr>
            <xdr:cNvPr id="6" name="TextBox 5"/>
            <xdr:cNvSpPr txBox="1"/>
          </xdr:nvSpPr>
          <xdr:spPr>
            <a:xfrm>
              <a:off x="768350" y="1200150"/>
              <a:ext cx="1384300" cy="2349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51ED6C-59A9-46D3-BDC3-42EF1976340D}" type="TxLink">
                <a:rPr lang="en-IN" sz="1100" b="1"/>
                <a:t>₹ 7,69,200.00</a:t>
              </a:fld>
              <a:endParaRPr lang="en-IN" sz="1100" b="1"/>
            </a:p>
          </xdr:txBody>
        </xdr:sp>
      </xdr:grpSp>
    </xdr:grpSp>
    <xdr:clientData/>
  </xdr:twoCellAnchor>
  <xdr:twoCellAnchor>
    <xdr:from>
      <xdr:col>3</xdr:col>
      <xdr:colOff>533400</xdr:colOff>
      <xdr:row>4</xdr:row>
      <xdr:rowOff>107950</xdr:rowOff>
    </xdr:from>
    <xdr:to>
      <xdr:col>7</xdr:col>
      <xdr:colOff>363000</xdr:colOff>
      <xdr:row>8</xdr:row>
      <xdr:rowOff>57150</xdr:rowOff>
    </xdr:to>
    <xdr:grpSp>
      <xdr:nvGrpSpPr>
        <xdr:cNvPr id="34" name="Group 33"/>
        <xdr:cNvGrpSpPr/>
      </xdr:nvGrpSpPr>
      <xdr:grpSpPr>
        <a:xfrm>
          <a:off x="2356757" y="833664"/>
          <a:ext cx="2260743" cy="674915"/>
          <a:chOff x="19050" y="844550"/>
          <a:chExt cx="2268000" cy="685800"/>
        </a:xfrm>
      </xdr:grpSpPr>
      <xdr:sp macro="" textlink="">
        <xdr:nvSpPr>
          <xdr:cNvPr id="35" name="Rounded Rectangle 34"/>
          <xdr:cNvSpPr/>
        </xdr:nvSpPr>
        <xdr:spPr>
          <a:xfrm>
            <a:off x="19050" y="844550"/>
            <a:ext cx="2268000" cy="685800"/>
          </a:xfrm>
          <a:prstGeom prst="roundRect">
            <a:avLst/>
          </a:prstGeom>
          <a:solidFill>
            <a:schemeClr val="accent4">
              <a:lumMod val="60000"/>
              <a:lumOff val="40000"/>
            </a:schemeClr>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nvGrpSpPr>
          <xdr:cNvPr id="36" name="Group 35"/>
          <xdr:cNvGrpSpPr/>
        </xdr:nvGrpSpPr>
        <xdr:grpSpPr>
          <a:xfrm>
            <a:off x="25400" y="844550"/>
            <a:ext cx="2127250" cy="679450"/>
            <a:chOff x="25400" y="844550"/>
            <a:chExt cx="2127250" cy="679450"/>
          </a:xfrm>
        </xdr:grpSpPr>
        <xdr:sp macro="" textlink="">
          <xdr:nvSpPr>
            <xdr:cNvPr id="37" name="Rounded Rectangle 36"/>
            <xdr:cNvSpPr/>
          </xdr:nvSpPr>
          <xdr:spPr>
            <a:xfrm>
              <a:off x="25400" y="844550"/>
              <a:ext cx="596900" cy="679450"/>
            </a:xfrm>
            <a:prstGeom prst="roundRect">
              <a:avLst>
                <a:gd name="adj" fmla="val 18514"/>
              </a:avLst>
            </a:prstGeom>
            <a:ln>
              <a:solidFill>
                <a:schemeClr val="tx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38" name="TextBox 37"/>
            <xdr:cNvSpPr txBox="1"/>
          </xdr:nvSpPr>
          <xdr:spPr>
            <a:xfrm>
              <a:off x="762000" y="901700"/>
              <a:ext cx="1219200" cy="311496"/>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Average</a:t>
              </a:r>
              <a:r>
                <a:rPr lang="en-IN" sz="1400" b="1" baseline="0">
                  <a:solidFill>
                    <a:schemeClr val="bg1"/>
                  </a:solidFill>
                </a:rPr>
                <a:t> Sales</a:t>
              </a:r>
              <a:endParaRPr lang="en-IN" sz="1400" b="1">
                <a:solidFill>
                  <a:schemeClr val="bg1"/>
                </a:solidFill>
              </a:endParaRPr>
            </a:p>
          </xdr:txBody>
        </xdr:sp>
        <xdr:sp macro="" textlink="Sales_Data!J9">
          <xdr:nvSpPr>
            <xdr:cNvPr id="39" name="TextBox 38"/>
            <xdr:cNvSpPr txBox="1"/>
          </xdr:nvSpPr>
          <xdr:spPr>
            <a:xfrm>
              <a:off x="768350" y="1200150"/>
              <a:ext cx="1384300" cy="2349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05570-929D-497B-8805-712870D1A485}" type="TxLink">
                <a:rPr lang="en-IN" sz="1100" b="1"/>
                <a:t>13,985</a:t>
              </a:fld>
              <a:endParaRPr lang="en-IN" sz="1100" b="1"/>
            </a:p>
          </xdr:txBody>
        </xdr:sp>
      </xdr:grpSp>
    </xdr:grpSp>
    <xdr:clientData/>
  </xdr:twoCellAnchor>
  <xdr:twoCellAnchor>
    <xdr:from>
      <xdr:col>7</xdr:col>
      <xdr:colOff>450850</xdr:colOff>
      <xdr:row>4</xdr:row>
      <xdr:rowOff>107950</xdr:rowOff>
    </xdr:from>
    <xdr:to>
      <xdr:col>11</xdr:col>
      <xdr:colOff>280450</xdr:colOff>
      <xdr:row>8</xdr:row>
      <xdr:rowOff>57150</xdr:rowOff>
    </xdr:to>
    <xdr:grpSp>
      <xdr:nvGrpSpPr>
        <xdr:cNvPr id="40" name="Group 39"/>
        <xdr:cNvGrpSpPr/>
      </xdr:nvGrpSpPr>
      <xdr:grpSpPr>
        <a:xfrm>
          <a:off x="4705350" y="833664"/>
          <a:ext cx="2260743" cy="674915"/>
          <a:chOff x="19050" y="844550"/>
          <a:chExt cx="2268000" cy="685800"/>
        </a:xfrm>
      </xdr:grpSpPr>
      <xdr:sp macro="" textlink="">
        <xdr:nvSpPr>
          <xdr:cNvPr id="41" name="Rounded Rectangle 40"/>
          <xdr:cNvSpPr/>
        </xdr:nvSpPr>
        <xdr:spPr>
          <a:xfrm>
            <a:off x="19050" y="844550"/>
            <a:ext cx="2268000" cy="685800"/>
          </a:xfrm>
          <a:prstGeom prst="roundRect">
            <a:avLst/>
          </a:prstGeom>
          <a:solidFill>
            <a:schemeClr val="accent4">
              <a:lumMod val="60000"/>
              <a:lumOff val="40000"/>
            </a:schemeClr>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nvGrpSpPr>
          <xdr:cNvPr id="42" name="Group 41"/>
          <xdr:cNvGrpSpPr/>
        </xdr:nvGrpSpPr>
        <xdr:grpSpPr>
          <a:xfrm>
            <a:off x="25400" y="844550"/>
            <a:ext cx="2127250" cy="679450"/>
            <a:chOff x="25400" y="844550"/>
            <a:chExt cx="2127250" cy="679450"/>
          </a:xfrm>
        </xdr:grpSpPr>
        <xdr:sp macro="" textlink="">
          <xdr:nvSpPr>
            <xdr:cNvPr id="43" name="Rounded Rectangle 42"/>
            <xdr:cNvSpPr/>
          </xdr:nvSpPr>
          <xdr:spPr>
            <a:xfrm>
              <a:off x="25400" y="844550"/>
              <a:ext cx="596900" cy="679450"/>
            </a:xfrm>
            <a:prstGeom prst="roundRect">
              <a:avLst>
                <a:gd name="adj" fmla="val 18514"/>
              </a:avLst>
            </a:prstGeom>
            <a:ln>
              <a:solidFill>
                <a:schemeClr val="tx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44" name="TextBox 43"/>
            <xdr:cNvSpPr txBox="1"/>
          </xdr:nvSpPr>
          <xdr:spPr>
            <a:xfrm>
              <a:off x="762000" y="901700"/>
              <a:ext cx="1219200" cy="311496"/>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Units</a:t>
              </a:r>
              <a:r>
                <a:rPr lang="en-IN" sz="1400" b="1" baseline="0">
                  <a:solidFill>
                    <a:schemeClr val="bg1"/>
                  </a:solidFill>
                </a:rPr>
                <a:t> sold</a:t>
              </a:r>
              <a:endParaRPr lang="en-IN" sz="1400" b="1">
                <a:solidFill>
                  <a:schemeClr val="bg1"/>
                </a:solidFill>
              </a:endParaRPr>
            </a:p>
          </xdr:txBody>
        </xdr:sp>
        <xdr:sp macro="" textlink="Sales_Data!J5">
          <xdr:nvSpPr>
            <xdr:cNvPr id="45" name="TextBox 44"/>
            <xdr:cNvSpPr txBox="1"/>
          </xdr:nvSpPr>
          <xdr:spPr>
            <a:xfrm>
              <a:off x="768350" y="1200150"/>
              <a:ext cx="1384300" cy="2349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DB4FE1-267D-4FAD-95DD-1793CC0936EB}" type="TxLink">
                <a:rPr lang="en-IN" sz="1100" b="1"/>
                <a:t>314</a:t>
              </a:fld>
              <a:endParaRPr lang="en-IN" sz="1100" b="1"/>
            </a:p>
          </xdr:txBody>
        </xdr:sp>
      </xdr:grpSp>
    </xdr:grpSp>
    <xdr:clientData/>
  </xdr:twoCellAnchor>
  <xdr:twoCellAnchor>
    <xdr:from>
      <xdr:col>11</xdr:col>
      <xdr:colOff>342900</xdr:colOff>
      <xdr:row>4</xdr:row>
      <xdr:rowOff>107950</xdr:rowOff>
    </xdr:from>
    <xdr:to>
      <xdr:col>15</xdr:col>
      <xdr:colOff>172500</xdr:colOff>
      <xdr:row>8</xdr:row>
      <xdr:rowOff>57150</xdr:rowOff>
    </xdr:to>
    <xdr:grpSp>
      <xdr:nvGrpSpPr>
        <xdr:cNvPr id="46" name="Group 45"/>
        <xdr:cNvGrpSpPr/>
      </xdr:nvGrpSpPr>
      <xdr:grpSpPr>
        <a:xfrm>
          <a:off x="7028543" y="833664"/>
          <a:ext cx="2260743" cy="674915"/>
          <a:chOff x="19050" y="844550"/>
          <a:chExt cx="2268000" cy="685800"/>
        </a:xfrm>
      </xdr:grpSpPr>
      <xdr:sp macro="" textlink="">
        <xdr:nvSpPr>
          <xdr:cNvPr id="47" name="Rounded Rectangle 46"/>
          <xdr:cNvSpPr/>
        </xdr:nvSpPr>
        <xdr:spPr>
          <a:xfrm>
            <a:off x="19050" y="844550"/>
            <a:ext cx="2268000" cy="685800"/>
          </a:xfrm>
          <a:prstGeom prst="roundRect">
            <a:avLst/>
          </a:prstGeom>
          <a:solidFill>
            <a:schemeClr val="accent4">
              <a:lumMod val="60000"/>
              <a:lumOff val="40000"/>
            </a:schemeClr>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nvGrpSpPr>
          <xdr:cNvPr id="48" name="Group 47"/>
          <xdr:cNvGrpSpPr/>
        </xdr:nvGrpSpPr>
        <xdr:grpSpPr>
          <a:xfrm>
            <a:off x="25400" y="844550"/>
            <a:ext cx="2127250" cy="679450"/>
            <a:chOff x="25400" y="844550"/>
            <a:chExt cx="2127250" cy="679450"/>
          </a:xfrm>
        </xdr:grpSpPr>
        <xdr:sp macro="" textlink="">
          <xdr:nvSpPr>
            <xdr:cNvPr id="49" name="Rounded Rectangle 48"/>
            <xdr:cNvSpPr/>
          </xdr:nvSpPr>
          <xdr:spPr>
            <a:xfrm>
              <a:off x="25400" y="844550"/>
              <a:ext cx="596900" cy="679450"/>
            </a:xfrm>
            <a:prstGeom prst="roundRect">
              <a:avLst>
                <a:gd name="adj" fmla="val 18514"/>
              </a:avLst>
            </a:prstGeom>
            <a:ln>
              <a:solidFill>
                <a:schemeClr val="tx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50" name="TextBox 49"/>
            <xdr:cNvSpPr txBox="1"/>
          </xdr:nvSpPr>
          <xdr:spPr>
            <a:xfrm>
              <a:off x="762000" y="901700"/>
              <a:ext cx="1219200" cy="311496"/>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Profit</a:t>
              </a:r>
            </a:p>
          </xdr:txBody>
        </xdr:sp>
        <xdr:sp macro="" textlink="Sales_Data!J7">
          <xdr:nvSpPr>
            <xdr:cNvPr id="51" name="TextBox 50"/>
            <xdr:cNvSpPr txBox="1"/>
          </xdr:nvSpPr>
          <xdr:spPr>
            <a:xfrm>
              <a:off x="768350" y="1200150"/>
              <a:ext cx="1384300" cy="2349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8EE6F-7EEC-4B0B-A91E-02DAC50C19B2}" type="TxLink">
                <a:rPr lang="en-IN" sz="1100" b="1"/>
                <a:t>127680</a:t>
              </a:fld>
              <a:endParaRPr lang="en-IN" sz="1100" b="1"/>
            </a:p>
          </xdr:txBody>
        </xdr:sp>
      </xdr:grpSp>
    </xdr:grpSp>
    <xdr:clientData/>
  </xdr:twoCellAnchor>
  <xdr:twoCellAnchor editAs="oneCell">
    <xdr:from>
      <xdr:col>4</xdr:col>
      <xdr:colOff>1</xdr:colOff>
      <xdr:row>5</xdr:row>
      <xdr:rowOff>31751</xdr:rowOff>
    </xdr:from>
    <xdr:to>
      <xdr:col>4</xdr:col>
      <xdr:colOff>476251</xdr:colOff>
      <xdr:row>7</xdr:row>
      <xdr:rowOff>128307</xdr:rowOff>
    </xdr:to>
    <xdr:pic>
      <xdr:nvPicPr>
        <xdr:cNvPr id="55" name="Picture 54" descr="C:\Program Files (x86)\Microsoft Office\MEDIA\CAGCAT10\j0283209.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8401" y="952501"/>
          <a:ext cx="476250" cy="46485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127000</xdr:colOff>
      <xdr:row>0</xdr:row>
      <xdr:rowOff>165100</xdr:rowOff>
    </xdr:from>
    <xdr:to>
      <xdr:col>14</xdr:col>
      <xdr:colOff>82550</xdr:colOff>
      <xdr:row>3</xdr:row>
      <xdr:rowOff>88900</xdr:rowOff>
    </xdr:to>
    <xdr:sp macro="" textlink="">
      <xdr:nvSpPr>
        <xdr:cNvPr id="58" name="TextBox 57"/>
        <xdr:cNvSpPr txBox="1"/>
      </xdr:nvSpPr>
      <xdr:spPr>
        <a:xfrm>
          <a:off x="4394200" y="165100"/>
          <a:ext cx="4222750" cy="4762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Sales</a:t>
          </a:r>
          <a:r>
            <a:rPr lang="en-IN" sz="3200" b="1" baseline="0"/>
            <a:t> Dashboard - 2025</a:t>
          </a:r>
          <a:endParaRPr lang="en-IN" sz="3200" b="1"/>
        </a:p>
      </xdr:txBody>
    </xdr:sp>
    <xdr:clientData/>
  </xdr:twoCellAnchor>
  <xdr:twoCellAnchor editAs="oneCell">
    <xdr:from>
      <xdr:col>12</xdr:col>
      <xdr:colOff>0</xdr:colOff>
      <xdr:row>12</xdr:row>
      <xdr:rowOff>0</xdr:rowOff>
    </xdr:from>
    <xdr:to>
      <xdr:col>12</xdr:col>
      <xdr:colOff>304800</xdr:colOff>
      <xdr:row>13</xdr:row>
      <xdr:rowOff>120650</xdr:rowOff>
    </xdr:to>
    <xdr:sp macro="" textlink="">
      <xdr:nvSpPr>
        <xdr:cNvPr id="3085" name="AutoShape 13" descr="computer monitor screen dashboard ..."/>
        <xdr:cNvSpPr>
          <a:spLocks noChangeAspect="1" noChangeArrowheads="1"/>
        </xdr:cNvSpPr>
      </xdr:nvSpPr>
      <xdr:spPr bwMode="auto">
        <a:xfrm>
          <a:off x="73152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12</xdr:row>
      <xdr:rowOff>0</xdr:rowOff>
    </xdr:from>
    <xdr:to>
      <xdr:col>12</xdr:col>
      <xdr:colOff>304800</xdr:colOff>
      <xdr:row>13</xdr:row>
      <xdr:rowOff>120650</xdr:rowOff>
    </xdr:to>
    <xdr:sp macro="" textlink="">
      <xdr:nvSpPr>
        <xdr:cNvPr id="3086" name="AutoShape 14" descr="computer monitor screen dashboard ..."/>
        <xdr:cNvSpPr>
          <a:spLocks noChangeAspect="1" noChangeArrowheads="1"/>
        </xdr:cNvSpPr>
      </xdr:nvSpPr>
      <xdr:spPr bwMode="auto">
        <a:xfrm>
          <a:off x="73152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6350</xdr:colOff>
      <xdr:row>1</xdr:row>
      <xdr:rowOff>31750</xdr:rowOff>
    </xdr:from>
    <xdr:to>
      <xdr:col>6</xdr:col>
      <xdr:colOff>596900</xdr:colOff>
      <xdr:row>3</xdr:row>
      <xdr:rowOff>133350</xdr:rowOff>
    </xdr:to>
    <xdr:pic>
      <xdr:nvPicPr>
        <xdr:cNvPr id="62" name="Picture 61"/>
        <xdr:cNvPicPr>
          <a:picLocks noChangeAspect="1"/>
        </xdr:cNvPicPr>
      </xdr:nvPicPr>
      <xdr:blipFill>
        <a:blip xmlns:r="http://schemas.openxmlformats.org/officeDocument/2006/relationships" r:embed="rId2"/>
        <a:stretch>
          <a:fillRect/>
        </a:stretch>
      </xdr:blipFill>
      <xdr:spPr>
        <a:xfrm>
          <a:off x="3663950" y="215900"/>
          <a:ext cx="590550" cy="4699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3</xdr:col>
      <xdr:colOff>0</xdr:colOff>
      <xdr:row>9</xdr:row>
      <xdr:rowOff>0</xdr:rowOff>
    </xdr:from>
    <xdr:to>
      <xdr:col>3</xdr:col>
      <xdr:colOff>304800</xdr:colOff>
      <xdr:row>10</xdr:row>
      <xdr:rowOff>120650</xdr:rowOff>
    </xdr:to>
    <xdr:sp macro="" textlink="">
      <xdr:nvSpPr>
        <xdr:cNvPr id="3087" name="AutoShape 15" descr="Download Free Profit Icons in PNG &amp; SVG"/>
        <xdr:cNvSpPr>
          <a:spLocks noChangeAspect="1" noChangeArrowheads="1"/>
        </xdr:cNvSpPr>
      </xdr:nvSpPr>
      <xdr:spPr bwMode="auto">
        <a:xfrm>
          <a:off x="1828800" y="16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387350</xdr:colOff>
      <xdr:row>4</xdr:row>
      <xdr:rowOff>158750</xdr:rowOff>
    </xdr:from>
    <xdr:to>
      <xdr:col>12</xdr:col>
      <xdr:colOff>280769</xdr:colOff>
      <xdr:row>7</xdr:row>
      <xdr:rowOff>120649</xdr:rowOff>
    </xdr:to>
    <xdr:pic>
      <xdr:nvPicPr>
        <xdr:cNvPr id="64" name="Picture 63"/>
        <xdr:cNvPicPr>
          <a:picLocks noChangeAspect="1"/>
        </xdr:cNvPicPr>
      </xdr:nvPicPr>
      <xdr:blipFill>
        <a:blip xmlns:r="http://schemas.openxmlformats.org/officeDocument/2006/relationships" r:embed="rId3"/>
        <a:stretch>
          <a:fillRect/>
        </a:stretch>
      </xdr:blipFill>
      <xdr:spPr>
        <a:xfrm>
          <a:off x="7092950" y="895350"/>
          <a:ext cx="503019" cy="514349"/>
        </a:xfrm>
        <a:prstGeom prst="ellipse">
          <a:avLst/>
        </a:prstGeom>
        <a:ln w="63500" cap="rnd">
          <a:solidFill>
            <a:schemeClr val="accent4">
              <a:lumMod val="7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88900</xdr:colOff>
      <xdr:row>5</xdr:row>
      <xdr:rowOff>12700</xdr:rowOff>
    </xdr:from>
    <xdr:to>
      <xdr:col>0</xdr:col>
      <xdr:colOff>552450</xdr:colOff>
      <xdr:row>7</xdr:row>
      <xdr:rowOff>107950</xdr:rowOff>
    </xdr:to>
    <xdr:pic>
      <xdr:nvPicPr>
        <xdr:cNvPr id="65" name="Picture 64"/>
        <xdr:cNvPicPr>
          <a:picLocks noChangeAspect="1"/>
        </xdr:cNvPicPr>
      </xdr:nvPicPr>
      <xdr:blipFill>
        <a:blip xmlns:r="http://schemas.openxmlformats.org/officeDocument/2006/relationships" r:embed="rId4"/>
        <a:stretch>
          <a:fillRect/>
        </a:stretch>
      </xdr:blipFill>
      <xdr:spPr>
        <a:xfrm>
          <a:off x="88900" y="933450"/>
          <a:ext cx="463550" cy="463550"/>
        </a:xfrm>
        <a:prstGeom prst="ellipse">
          <a:avLst/>
        </a:prstGeom>
        <a:ln w="63500" cap="rnd">
          <a:solidFill>
            <a:srgbClr val="7030A0"/>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7</xdr:col>
      <xdr:colOff>533400</xdr:colOff>
      <xdr:row>5</xdr:row>
      <xdr:rowOff>25400</xdr:rowOff>
    </xdr:from>
    <xdr:to>
      <xdr:col>8</xdr:col>
      <xdr:colOff>381000</xdr:colOff>
      <xdr:row>7</xdr:row>
      <xdr:rowOff>114300</xdr:rowOff>
    </xdr:to>
    <xdr:pic>
      <xdr:nvPicPr>
        <xdr:cNvPr id="68" name="Picture 67"/>
        <xdr:cNvPicPr>
          <a:picLocks noChangeAspect="1"/>
        </xdr:cNvPicPr>
      </xdr:nvPicPr>
      <xdr:blipFill>
        <a:blip xmlns:r="http://schemas.openxmlformats.org/officeDocument/2006/relationships" r:embed="rId5"/>
        <a:stretch>
          <a:fillRect/>
        </a:stretch>
      </xdr:blipFill>
      <xdr:spPr>
        <a:xfrm>
          <a:off x="4800600" y="946150"/>
          <a:ext cx="457200" cy="4572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101600</xdr:colOff>
      <xdr:row>8</xdr:row>
      <xdr:rowOff>114300</xdr:rowOff>
    </xdr:from>
    <xdr:to>
      <xdr:col>3</xdr:col>
      <xdr:colOff>101600</xdr:colOff>
      <xdr:row>22</xdr:row>
      <xdr:rowOff>60325</xdr:rowOff>
    </xdr:to>
    <mc:AlternateContent xmlns:mc="http://schemas.openxmlformats.org/markup-compatibility/2006">
      <mc:Choice xmlns:a14="http://schemas.microsoft.com/office/drawing/2010/main" Requires="a14">
        <xdr:graphicFrame macro="">
          <xdr:nvGraphicFramePr>
            <xdr:cNvPr id="79" name="Order_Date 1"/>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101600" y="1565729"/>
              <a:ext cx="1823357"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349250</xdr:colOff>
      <xdr:row>4</xdr:row>
      <xdr:rowOff>95250</xdr:rowOff>
    </xdr:from>
    <xdr:to>
      <xdr:col>20</xdr:col>
      <xdr:colOff>381000</xdr:colOff>
      <xdr:row>8</xdr:row>
      <xdr:rowOff>133349</xdr:rowOff>
    </xdr:to>
    <mc:AlternateContent xmlns:mc="http://schemas.openxmlformats.org/markup-compatibility/2006">
      <mc:Choice xmlns:a14="http://schemas.microsoft.com/office/drawing/2010/main" Requires="a14">
        <xdr:graphicFrame macro="">
          <xdr:nvGraphicFramePr>
            <xdr:cNvPr id="8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66036" y="820964"/>
              <a:ext cx="3070678" cy="76381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22</xdr:row>
      <xdr:rowOff>146050</xdr:rowOff>
    </xdr:from>
    <xdr:to>
      <xdr:col>3</xdr:col>
      <xdr:colOff>101600</xdr:colOff>
      <xdr:row>47</xdr:row>
      <xdr:rowOff>88900</xdr:rowOff>
    </xdr:to>
    <mc:AlternateContent xmlns:mc="http://schemas.openxmlformats.org/markup-compatibility/2006">
      <mc:Choice xmlns:a14="http://schemas.microsoft.com/office/drawing/2010/main" Requires="a14">
        <xdr:graphicFrame macro="">
          <xdr:nvGraphicFramePr>
            <xdr:cNvPr id="82"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1600" y="4137479"/>
              <a:ext cx="1823357" cy="447856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217714</xdr:colOff>
      <xdr:row>9</xdr:row>
      <xdr:rowOff>51186</xdr:rowOff>
    </xdr:from>
    <xdr:to>
      <xdr:col>11</xdr:col>
      <xdr:colOff>580571</xdr:colOff>
      <xdr:row>27</xdr:row>
      <xdr:rowOff>68836</xdr:rowOff>
    </xdr:to>
    <xdr:sp macro="" textlink="">
      <xdr:nvSpPr>
        <xdr:cNvPr id="83" name="Rounded Rectangle 82"/>
        <xdr:cNvSpPr/>
      </xdr:nvSpPr>
      <xdr:spPr>
        <a:xfrm>
          <a:off x="2041071" y="1684043"/>
          <a:ext cx="5225143" cy="3283364"/>
        </a:xfrm>
        <a:prstGeom prst="roundRect">
          <a:avLst>
            <a:gd name="adj" fmla="val 10868"/>
          </a:avLst>
        </a:prstGeom>
        <a:solidFill>
          <a:schemeClr val="accent4">
            <a:lumMod val="60000"/>
            <a:lumOff val="40000"/>
          </a:schemeClr>
        </a:solidFill>
        <a:ln>
          <a:solidFill>
            <a:schemeClr val="accent4">
              <a:lumMod val="60000"/>
              <a:lumOff val="4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76107</xdr:colOff>
      <xdr:row>12</xdr:row>
      <xdr:rowOff>172850</xdr:rowOff>
    </xdr:from>
    <xdr:to>
      <xdr:col>11</xdr:col>
      <xdr:colOff>104588</xdr:colOff>
      <xdr:row>26</xdr:row>
      <xdr:rowOff>97117</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59765</xdr:colOff>
      <xdr:row>10</xdr:row>
      <xdr:rowOff>97118</xdr:rowOff>
    </xdr:from>
    <xdr:to>
      <xdr:col>8</xdr:col>
      <xdr:colOff>590176</xdr:colOff>
      <xdr:row>12</xdr:row>
      <xdr:rowOff>44824</xdr:rowOff>
    </xdr:to>
    <xdr:sp macro="" textlink="">
      <xdr:nvSpPr>
        <xdr:cNvPr id="69" name="TextBox 68"/>
        <xdr:cNvSpPr txBox="1"/>
      </xdr:nvSpPr>
      <xdr:spPr>
        <a:xfrm>
          <a:off x="2510118" y="1964765"/>
          <a:ext cx="2980764" cy="32123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Units sold by product</a:t>
          </a:r>
        </a:p>
      </xdr:txBody>
    </xdr:sp>
    <xdr:clientData/>
  </xdr:twoCellAnchor>
  <xdr:twoCellAnchor>
    <xdr:from>
      <xdr:col>12</xdr:col>
      <xdr:colOff>54428</xdr:colOff>
      <xdr:row>9</xdr:row>
      <xdr:rowOff>33043</xdr:rowOff>
    </xdr:from>
    <xdr:to>
      <xdr:col>20</xdr:col>
      <xdr:colOff>344715</xdr:colOff>
      <xdr:row>27</xdr:row>
      <xdr:rowOff>50693</xdr:rowOff>
    </xdr:to>
    <xdr:sp macro="" textlink="">
      <xdr:nvSpPr>
        <xdr:cNvPr id="87" name="Rounded Rectangle 86"/>
        <xdr:cNvSpPr/>
      </xdr:nvSpPr>
      <xdr:spPr>
        <a:xfrm>
          <a:off x="7347857" y="1665900"/>
          <a:ext cx="5152572" cy="3283364"/>
        </a:xfrm>
        <a:prstGeom prst="roundRect">
          <a:avLst>
            <a:gd name="adj" fmla="val 10868"/>
          </a:avLst>
        </a:prstGeom>
        <a:solidFill>
          <a:schemeClr val="accent4">
            <a:lumMod val="60000"/>
            <a:lumOff val="40000"/>
          </a:schemeClr>
        </a:solidFill>
        <a:ln>
          <a:solidFill>
            <a:schemeClr val="accent4">
              <a:lumMod val="60000"/>
              <a:lumOff val="4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208644</xdr:colOff>
      <xdr:row>27</xdr:row>
      <xdr:rowOff>149371</xdr:rowOff>
    </xdr:from>
    <xdr:to>
      <xdr:col>11</xdr:col>
      <xdr:colOff>604052</xdr:colOff>
      <xdr:row>46</xdr:row>
      <xdr:rowOff>136071</xdr:rowOff>
    </xdr:to>
    <xdr:sp macro="" textlink="">
      <xdr:nvSpPr>
        <xdr:cNvPr id="88" name="Rounded Rectangle 87"/>
        <xdr:cNvSpPr/>
      </xdr:nvSpPr>
      <xdr:spPr>
        <a:xfrm>
          <a:off x="2032001" y="5047942"/>
          <a:ext cx="5257694" cy="3433843"/>
        </a:xfrm>
        <a:prstGeom prst="roundRect">
          <a:avLst>
            <a:gd name="adj" fmla="val 10868"/>
          </a:avLst>
        </a:prstGeom>
        <a:solidFill>
          <a:schemeClr val="accent4">
            <a:lumMod val="60000"/>
            <a:lumOff val="40000"/>
          </a:schemeClr>
        </a:solidFill>
        <a:ln>
          <a:solidFill>
            <a:schemeClr val="accent4">
              <a:lumMod val="60000"/>
              <a:lumOff val="4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81644</xdr:colOff>
      <xdr:row>27</xdr:row>
      <xdr:rowOff>127000</xdr:rowOff>
    </xdr:from>
    <xdr:to>
      <xdr:col>20</xdr:col>
      <xdr:colOff>335644</xdr:colOff>
      <xdr:row>46</xdr:row>
      <xdr:rowOff>127000</xdr:rowOff>
    </xdr:to>
    <xdr:sp macro="" textlink="">
      <xdr:nvSpPr>
        <xdr:cNvPr id="90" name="Rounded Rectangle 89"/>
        <xdr:cNvSpPr/>
      </xdr:nvSpPr>
      <xdr:spPr>
        <a:xfrm>
          <a:off x="7375073" y="5025571"/>
          <a:ext cx="5116285" cy="3447143"/>
        </a:xfrm>
        <a:prstGeom prst="roundRect">
          <a:avLst>
            <a:gd name="adj" fmla="val 10868"/>
          </a:avLst>
        </a:prstGeom>
        <a:solidFill>
          <a:schemeClr val="accent4">
            <a:lumMod val="60000"/>
            <a:lumOff val="40000"/>
          </a:schemeClr>
        </a:solidFill>
        <a:ln>
          <a:solidFill>
            <a:schemeClr val="accent4">
              <a:lumMod val="60000"/>
              <a:lumOff val="4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485588</xdr:colOff>
      <xdr:row>10</xdr:row>
      <xdr:rowOff>171823</xdr:rowOff>
    </xdr:from>
    <xdr:to>
      <xdr:col>18</xdr:col>
      <xdr:colOff>0</xdr:colOff>
      <xdr:row>12</xdr:row>
      <xdr:rowOff>164353</xdr:rowOff>
    </xdr:to>
    <xdr:sp macro="" textlink="">
      <xdr:nvSpPr>
        <xdr:cNvPr id="70" name="TextBox 69"/>
        <xdr:cNvSpPr txBox="1"/>
      </xdr:nvSpPr>
      <xdr:spPr>
        <a:xfrm>
          <a:off x="7836647" y="2039470"/>
          <a:ext cx="3189941" cy="366059"/>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sales by Region</a:t>
          </a:r>
        </a:p>
      </xdr:txBody>
    </xdr:sp>
    <xdr:clientData/>
  </xdr:twoCellAnchor>
  <xdr:twoCellAnchor>
    <xdr:from>
      <xdr:col>3</xdr:col>
      <xdr:colOff>496261</xdr:colOff>
      <xdr:row>28</xdr:row>
      <xdr:rowOff>98185</xdr:rowOff>
    </xdr:from>
    <xdr:to>
      <xdr:col>9</xdr:col>
      <xdr:colOff>25614</xdr:colOff>
      <xdr:row>30</xdr:row>
      <xdr:rowOff>90714</xdr:rowOff>
    </xdr:to>
    <xdr:sp macro="" textlink="">
      <xdr:nvSpPr>
        <xdr:cNvPr id="71" name="TextBox 70"/>
        <xdr:cNvSpPr txBox="1"/>
      </xdr:nvSpPr>
      <xdr:spPr>
        <a:xfrm>
          <a:off x="2319618" y="5178185"/>
          <a:ext cx="3176067" cy="35538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sales by Product</a:t>
          </a:r>
          <a:endParaRPr lang="en-IN" sz="2000" b="1"/>
        </a:p>
      </xdr:txBody>
    </xdr:sp>
    <xdr:clientData/>
  </xdr:twoCellAnchor>
  <xdr:twoCellAnchor>
    <xdr:from>
      <xdr:col>12</xdr:col>
      <xdr:colOff>462643</xdr:colOff>
      <xdr:row>28</xdr:row>
      <xdr:rowOff>120063</xdr:rowOff>
    </xdr:from>
    <xdr:to>
      <xdr:col>18</xdr:col>
      <xdr:colOff>44290</xdr:colOff>
      <xdr:row>30</xdr:row>
      <xdr:rowOff>75239</xdr:rowOff>
    </xdr:to>
    <xdr:sp macro="" textlink="">
      <xdr:nvSpPr>
        <xdr:cNvPr id="72" name="TextBox 71"/>
        <xdr:cNvSpPr txBox="1"/>
      </xdr:nvSpPr>
      <xdr:spPr>
        <a:xfrm>
          <a:off x="7756072" y="5200063"/>
          <a:ext cx="3228361" cy="318033"/>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sales by month</a:t>
          </a:r>
        </a:p>
      </xdr:txBody>
    </xdr:sp>
    <xdr:clientData/>
  </xdr:twoCellAnchor>
  <xdr:twoCellAnchor>
    <xdr:from>
      <xdr:col>12</xdr:col>
      <xdr:colOff>597181</xdr:colOff>
      <xdr:row>13</xdr:row>
      <xdr:rowOff>94409</xdr:rowOff>
    </xdr:from>
    <xdr:to>
      <xdr:col>19</xdr:col>
      <xdr:colOff>425824</xdr:colOff>
      <xdr:row>26</xdr:row>
      <xdr:rowOff>89647</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79576</xdr:colOff>
      <xdr:row>30</xdr:row>
      <xdr:rowOff>155240</xdr:rowOff>
    </xdr:from>
    <xdr:to>
      <xdr:col>11</xdr:col>
      <xdr:colOff>244395</xdr:colOff>
      <xdr:row>44</xdr:row>
      <xdr:rowOff>172891</xdr:rowOff>
    </xdr:to>
    <xdr:graphicFrame macro="">
      <xdr:nvGraphicFramePr>
        <xdr:cNvPr id="95" name="Chart 9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475517</xdr:colOff>
      <xdr:row>31</xdr:row>
      <xdr:rowOff>39447</xdr:rowOff>
    </xdr:from>
    <xdr:to>
      <xdr:col>20</xdr:col>
      <xdr:colOff>117929</xdr:colOff>
      <xdr:row>45</xdr:row>
      <xdr:rowOff>36285</xdr:rowOff>
    </xdr:to>
    <xdr:graphicFrame macro="">
      <xdr:nvGraphicFramePr>
        <xdr:cNvPr id="96" name="Chart 9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19.359881249999" createdVersion="4" refreshedVersion="4" minRefreshableVersion="3" recordCount="55">
  <cacheSource type="worksheet">
    <worksheetSource name="Table1"/>
  </cacheSource>
  <cacheFields count="8">
    <cacheField name="Order_ID" numFmtId="0">
      <sharedItems/>
    </cacheField>
    <cacheField name="Order_Date" numFmtId="0">
      <sharedItems count="55">
        <s v="2024-01-05"/>
        <s v="2024-01-07"/>
        <s v="2024-01-10"/>
        <s v="2024-01-12"/>
        <s v="2024-01-15"/>
        <s v="2024-01-18"/>
        <s v="2024-01-20"/>
        <s v="2024-01-22"/>
        <s v="2024-01-25"/>
        <s v="2024-01-28"/>
        <s v="2024-02-02"/>
        <s v="2024-02-04"/>
        <s v="2024-02-06"/>
        <s v="2024-02-08"/>
        <s v="2024-02-10"/>
        <s v="2024-02-12"/>
        <s v="2024-02-15"/>
        <s v="2024-02-18"/>
        <s v="2024-02-20"/>
        <s v="2024-02-22"/>
        <s v="2024-02-25"/>
        <s v="2024-02-27"/>
        <s v="2024-03-01"/>
        <s v="2024-03-03"/>
        <s v="2024-03-05"/>
        <s v="2024-03-08"/>
        <s v="2024-03-10"/>
        <s v="2024-03-12"/>
        <s v="2024-03-15"/>
        <s v="2024-03-18"/>
        <s v="2024-03-20"/>
        <s v="2024-03-22"/>
        <s v="2024-03-25"/>
        <s v="2024-03-28"/>
        <s v="2024-03-30"/>
        <s v="2024-04-02"/>
        <s v="2024-04-04"/>
        <s v="2024-04-06"/>
        <s v="2024-04-08"/>
        <s v="2024-04-10"/>
        <s v="2024-04-12"/>
        <s v="2024-04-15"/>
        <s v="2024-04-18"/>
        <s v="2024-04-20"/>
        <s v="2024-04-22"/>
        <s v="2024-04-25"/>
        <s v="2024-04-27"/>
        <s v="2024-04-29"/>
        <s v="2024-05-02"/>
        <s v="2024-05-05"/>
        <s v="2024-05-07"/>
        <s v="2024-05-09"/>
        <s v="2024-05-11"/>
        <s v="2024-05-13"/>
        <s v="2024-05-15"/>
      </sharedItems>
    </cacheField>
    <cacheField name="Region" numFmtId="0">
      <sharedItems count="4">
        <s v="North"/>
        <s v="South"/>
        <s v="East"/>
        <s v="West"/>
      </sharedItems>
    </cacheField>
    <cacheField name="Product" numFmtId="0">
      <sharedItems count="15">
        <s v="Laptop"/>
        <s v="Mobile"/>
        <s v="Chair"/>
        <s v="Table"/>
        <s v="Printer"/>
        <s v="Notebook"/>
        <s v="Pen"/>
        <s v="Monitor"/>
        <s v="Keyboard"/>
        <s v="Mouse"/>
        <s v="Desk"/>
        <s v="Sofa"/>
        <s v="Headphones"/>
        <s v="Calculator"/>
        <s v="Whiteboard"/>
      </sharedItems>
    </cacheField>
    <cacheField name="Category" numFmtId="0">
      <sharedItems count="3">
        <s v="Electronics"/>
        <s v="Furniture"/>
        <s v="Stationery"/>
      </sharedItems>
    </cacheField>
    <cacheField name="Sales_Amount" numFmtId="8">
      <sharedItems containsSemiMixedTypes="0" containsString="0" containsNumber="1" containsInteger="1" minValue="500" maxValue="62000"/>
    </cacheField>
    <cacheField name="Profit" numFmtId="0">
      <sharedItems containsSemiMixedTypes="0" containsString="0" containsNumber="1" containsInteger="1" minValue="150" maxValue="9500"/>
    </cacheField>
    <cacheField name="Quantity" numFmtId="0">
      <sharedItems containsSemiMixedTypes="0" containsString="0" containsNumber="1" containsInteger="1" minValue="1" maxValue="4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5">
  <r>
    <s v="ORD001"/>
    <x v="0"/>
    <x v="0"/>
    <x v="0"/>
    <x v="0"/>
    <n v="55000"/>
    <n v="8000"/>
    <n v="2"/>
  </r>
  <r>
    <s v="ORD002"/>
    <x v="1"/>
    <x v="1"/>
    <x v="1"/>
    <x v="0"/>
    <n v="20000"/>
    <n v="3000"/>
    <n v="3"/>
  </r>
  <r>
    <s v="ORD003"/>
    <x v="2"/>
    <x v="2"/>
    <x v="2"/>
    <x v="1"/>
    <n v="4500"/>
    <n v="900"/>
    <n v="5"/>
  </r>
  <r>
    <s v="ORD004"/>
    <x v="3"/>
    <x v="3"/>
    <x v="3"/>
    <x v="1"/>
    <n v="12000"/>
    <n v="2500"/>
    <n v="2"/>
  </r>
  <r>
    <s v="ORD005"/>
    <x v="4"/>
    <x v="0"/>
    <x v="4"/>
    <x v="0"/>
    <n v="15000"/>
    <n v="2000"/>
    <n v="1"/>
  </r>
  <r>
    <s v="ORD006"/>
    <x v="5"/>
    <x v="1"/>
    <x v="5"/>
    <x v="2"/>
    <n v="1200"/>
    <n v="300"/>
    <n v="10"/>
  </r>
  <r>
    <s v="ORD007"/>
    <x v="6"/>
    <x v="2"/>
    <x v="6"/>
    <x v="2"/>
    <n v="500"/>
    <n v="150"/>
    <n v="25"/>
  </r>
  <r>
    <s v="ORD008"/>
    <x v="7"/>
    <x v="3"/>
    <x v="7"/>
    <x v="0"/>
    <n v="18000"/>
    <n v="2800"/>
    <n v="2"/>
  </r>
  <r>
    <s v="ORD009"/>
    <x v="8"/>
    <x v="0"/>
    <x v="8"/>
    <x v="0"/>
    <n v="3000"/>
    <n v="600"/>
    <n v="4"/>
  </r>
  <r>
    <s v="ORD010"/>
    <x v="9"/>
    <x v="1"/>
    <x v="9"/>
    <x v="0"/>
    <n v="1800"/>
    <n v="400"/>
    <n v="6"/>
  </r>
  <r>
    <s v="ORD011"/>
    <x v="10"/>
    <x v="2"/>
    <x v="10"/>
    <x v="1"/>
    <n v="16000"/>
    <n v="3200"/>
    <n v="2"/>
  </r>
  <r>
    <s v="ORD012"/>
    <x v="11"/>
    <x v="3"/>
    <x v="11"/>
    <x v="1"/>
    <n v="45000"/>
    <n v="7000"/>
    <n v="1"/>
  </r>
  <r>
    <s v="ORD013"/>
    <x v="12"/>
    <x v="0"/>
    <x v="12"/>
    <x v="0"/>
    <n v="4000"/>
    <n v="900"/>
    <n v="3"/>
  </r>
  <r>
    <s v="ORD014"/>
    <x v="13"/>
    <x v="1"/>
    <x v="13"/>
    <x v="2"/>
    <n v="900"/>
    <n v="200"/>
    <n v="5"/>
  </r>
  <r>
    <s v="ORD015"/>
    <x v="14"/>
    <x v="2"/>
    <x v="14"/>
    <x v="2"/>
    <n v="3500"/>
    <n v="800"/>
    <n v="2"/>
  </r>
  <r>
    <s v="ORD016"/>
    <x v="15"/>
    <x v="3"/>
    <x v="0"/>
    <x v="0"/>
    <n v="60000"/>
    <n v="9000"/>
    <n v="2"/>
  </r>
  <r>
    <s v="ORD017"/>
    <x v="16"/>
    <x v="0"/>
    <x v="1"/>
    <x v="0"/>
    <n v="22000"/>
    <n v="3500"/>
    <n v="2"/>
  </r>
  <r>
    <s v="ORD018"/>
    <x v="17"/>
    <x v="1"/>
    <x v="2"/>
    <x v="1"/>
    <n v="4800"/>
    <n v="1000"/>
    <n v="4"/>
  </r>
  <r>
    <s v="ORD019"/>
    <x v="18"/>
    <x v="2"/>
    <x v="3"/>
    <x v="1"/>
    <n v="13000"/>
    <n v="2600"/>
    <n v="2"/>
  </r>
  <r>
    <s v="ORD020"/>
    <x v="19"/>
    <x v="3"/>
    <x v="4"/>
    <x v="0"/>
    <n v="14500"/>
    <n v="2100"/>
    <n v="1"/>
  </r>
  <r>
    <s v="ORD021"/>
    <x v="20"/>
    <x v="0"/>
    <x v="5"/>
    <x v="2"/>
    <n v="1500"/>
    <n v="400"/>
    <n v="12"/>
  </r>
  <r>
    <s v="ORD022"/>
    <x v="21"/>
    <x v="1"/>
    <x v="6"/>
    <x v="2"/>
    <n v="600"/>
    <n v="180"/>
    <n v="30"/>
  </r>
  <r>
    <s v="ORD023"/>
    <x v="22"/>
    <x v="2"/>
    <x v="7"/>
    <x v="0"/>
    <n v="17500"/>
    <n v="2700"/>
    <n v="2"/>
  </r>
  <r>
    <s v="ORD024"/>
    <x v="23"/>
    <x v="3"/>
    <x v="8"/>
    <x v="0"/>
    <n v="3200"/>
    <n v="650"/>
    <n v="4"/>
  </r>
  <r>
    <s v="ORD025"/>
    <x v="24"/>
    <x v="0"/>
    <x v="9"/>
    <x v="0"/>
    <n v="2000"/>
    <n v="450"/>
    <n v="5"/>
  </r>
  <r>
    <s v="ORD026"/>
    <x v="25"/>
    <x v="1"/>
    <x v="10"/>
    <x v="1"/>
    <n v="15500"/>
    <n v="3000"/>
    <n v="2"/>
  </r>
  <r>
    <s v="ORD027"/>
    <x v="26"/>
    <x v="2"/>
    <x v="11"/>
    <x v="1"/>
    <n v="47000"/>
    <n v="7500"/>
    <n v="1"/>
  </r>
  <r>
    <s v="ORD028"/>
    <x v="27"/>
    <x v="3"/>
    <x v="12"/>
    <x v="0"/>
    <n v="4200"/>
    <n v="950"/>
    <n v="3"/>
  </r>
  <r>
    <s v="ORD029"/>
    <x v="28"/>
    <x v="0"/>
    <x v="13"/>
    <x v="2"/>
    <n v="1000"/>
    <n v="250"/>
    <n v="6"/>
  </r>
  <r>
    <s v="ORD030"/>
    <x v="29"/>
    <x v="1"/>
    <x v="14"/>
    <x v="2"/>
    <n v="3800"/>
    <n v="850"/>
    <n v="2"/>
  </r>
  <r>
    <s v="ORD031"/>
    <x v="30"/>
    <x v="2"/>
    <x v="0"/>
    <x v="0"/>
    <n v="58000"/>
    <n v="8500"/>
    <n v="2"/>
  </r>
  <r>
    <s v="ORD032"/>
    <x v="31"/>
    <x v="3"/>
    <x v="1"/>
    <x v="0"/>
    <n v="21000"/>
    <n v="3200"/>
    <n v="3"/>
  </r>
  <r>
    <s v="ORD033"/>
    <x v="32"/>
    <x v="0"/>
    <x v="2"/>
    <x v="1"/>
    <n v="5000"/>
    <n v="1100"/>
    <n v="4"/>
  </r>
  <r>
    <s v="ORD034"/>
    <x v="33"/>
    <x v="1"/>
    <x v="3"/>
    <x v="1"/>
    <n v="12500"/>
    <n v="2400"/>
    <n v="2"/>
  </r>
  <r>
    <s v="ORD035"/>
    <x v="34"/>
    <x v="2"/>
    <x v="4"/>
    <x v="0"/>
    <n v="14800"/>
    <n v="2200"/>
    <n v="1"/>
  </r>
  <r>
    <s v="ORD036"/>
    <x v="35"/>
    <x v="3"/>
    <x v="5"/>
    <x v="2"/>
    <n v="1600"/>
    <n v="450"/>
    <n v="15"/>
  </r>
  <r>
    <s v="ORD037"/>
    <x v="36"/>
    <x v="0"/>
    <x v="6"/>
    <x v="2"/>
    <n v="700"/>
    <n v="200"/>
    <n v="35"/>
  </r>
  <r>
    <s v="ORD038"/>
    <x v="37"/>
    <x v="1"/>
    <x v="7"/>
    <x v="0"/>
    <n v="18500"/>
    <n v="2900"/>
    <n v="2"/>
  </r>
  <r>
    <s v="ORD039"/>
    <x v="38"/>
    <x v="2"/>
    <x v="8"/>
    <x v="0"/>
    <n v="3400"/>
    <n v="700"/>
    <n v="4"/>
  </r>
  <r>
    <s v="ORD040"/>
    <x v="39"/>
    <x v="3"/>
    <x v="9"/>
    <x v="0"/>
    <n v="2100"/>
    <n v="500"/>
    <n v="5"/>
  </r>
  <r>
    <s v="ORD041"/>
    <x v="40"/>
    <x v="0"/>
    <x v="10"/>
    <x v="1"/>
    <n v="16500"/>
    <n v="3300"/>
    <n v="2"/>
  </r>
  <r>
    <s v="ORD042"/>
    <x v="41"/>
    <x v="1"/>
    <x v="11"/>
    <x v="1"/>
    <n v="48000"/>
    <n v="7800"/>
    <n v="1"/>
  </r>
  <r>
    <s v="ORD043"/>
    <x v="42"/>
    <x v="2"/>
    <x v="12"/>
    <x v="0"/>
    <n v="4500"/>
    <n v="1000"/>
    <n v="3"/>
  </r>
  <r>
    <s v="ORD044"/>
    <x v="43"/>
    <x v="3"/>
    <x v="13"/>
    <x v="2"/>
    <n v="1100"/>
    <n v="300"/>
    <n v="6"/>
  </r>
  <r>
    <s v="ORD045"/>
    <x v="44"/>
    <x v="0"/>
    <x v="14"/>
    <x v="2"/>
    <n v="4000"/>
    <n v="900"/>
    <n v="2"/>
  </r>
  <r>
    <s v="ORD046"/>
    <x v="45"/>
    <x v="1"/>
    <x v="0"/>
    <x v="0"/>
    <n v="62000"/>
    <n v="9500"/>
    <n v="2"/>
  </r>
  <r>
    <s v="ORD047"/>
    <x v="46"/>
    <x v="2"/>
    <x v="1"/>
    <x v="0"/>
    <n v="23000"/>
    <n v="3600"/>
    <n v="2"/>
  </r>
  <r>
    <s v="ORD048"/>
    <x v="47"/>
    <x v="3"/>
    <x v="2"/>
    <x v="1"/>
    <n v="5200"/>
    <n v="1200"/>
    <n v="4"/>
  </r>
  <r>
    <s v="ORD049"/>
    <x v="48"/>
    <x v="0"/>
    <x v="3"/>
    <x v="1"/>
    <n v="13500"/>
    <n v="2700"/>
    <n v="2"/>
  </r>
  <r>
    <s v="ORD050"/>
    <x v="49"/>
    <x v="1"/>
    <x v="4"/>
    <x v="0"/>
    <n v="15500"/>
    <n v="2300"/>
    <n v="1"/>
  </r>
  <r>
    <s v="ORD051"/>
    <x v="50"/>
    <x v="2"/>
    <x v="5"/>
    <x v="2"/>
    <n v="1700"/>
    <n v="500"/>
    <n v="14"/>
  </r>
  <r>
    <s v="ORD052"/>
    <x v="51"/>
    <x v="3"/>
    <x v="6"/>
    <x v="2"/>
    <n v="800"/>
    <n v="250"/>
    <n v="40"/>
  </r>
  <r>
    <s v="ORD053"/>
    <x v="52"/>
    <x v="0"/>
    <x v="7"/>
    <x v="0"/>
    <n v="19000"/>
    <n v="3000"/>
    <n v="2"/>
  </r>
  <r>
    <s v="ORD054"/>
    <x v="53"/>
    <x v="1"/>
    <x v="8"/>
    <x v="0"/>
    <n v="3600"/>
    <n v="750"/>
    <n v="4"/>
  </r>
  <r>
    <s v="ORD055"/>
    <x v="54"/>
    <x v="2"/>
    <x v="9"/>
    <x v="0"/>
    <n v="2200"/>
    <n v="55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J3:K19" firstHeaderRow="1" firstDataRow="1" firstDataCol="1"/>
  <pivotFields count="8">
    <pivotField showAll="0"/>
    <pivotField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items count="5">
        <item x="2"/>
        <item x="0"/>
        <item x="1"/>
        <item x="3"/>
        <item t="default"/>
      </items>
    </pivotField>
    <pivotField axis="axisRow" showAll="0">
      <items count="16">
        <item x="13"/>
        <item x="2"/>
        <item x="10"/>
        <item x="12"/>
        <item x="8"/>
        <item x="0"/>
        <item x="1"/>
        <item x="7"/>
        <item x="9"/>
        <item x="5"/>
        <item x="6"/>
        <item x="4"/>
        <item x="11"/>
        <item x="3"/>
        <item x="14"/>
        <item t="default"/>
      </items>
    </pivotField>
    <pivotField showAll="0"/>
    <pivotField numFmtId="8" showAll="0"/>
    <pivotField showAll="0"/>
    <pivotField dataField="1"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59" firstHeaderRow="1" firstDataRow="1" firstDataCol="1"/>
  <pivotFields count="8">
    <pivotField showAll="0"/>
    <pivotField axis="axisRow"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items count="5">
        <item x="2"/>
        <item x="0"/>
        <item x="1"/>
        <item x="3"/>
        <item t="default"/>
      </items>
    </pivotField>
    <pivotField showAll="0"/>
    <pivotField showAll="0">
      <items count="4">
        <item x="0"/>
        <item x="1"/>
        <item x="2"/>
        <item t="default"/>
      </items>
    </pivotField>
    <pivotField dataField="1" numFmtId="8" showAll="0"/>
    <pivotField showAll="0"/>
    <pivotField showAll="0"/>
  </pivotFields>
  <rowFields count="1">
    <field x="1"/>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Sum of Sales_Amount" fld="5" baseField="1" baseItem="0" numFmtId="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19" firstHeaderRow="1" firstDataRow="1" firstDataCol="1"/>
  <pivotFields count="8">
    <pivotField showAll="0"/>
    <pivotField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items count="5">
        <item x="2"/>
        <item x="0"/>
        <item x="1"/>
        <item x="3"/>
        <item t="default"/>
      </items>
    </pivotField>
    <pivotField axis="axisRow" showAll="0">
      <items count="16">
        <item x="13"/>
        <item x="2"/>
        <item x="10"/>
        <item x="12"/>
        <item x="8"/>
        <item x="0"/>
        <item x="1"/>
        <item x="7"/>
        <item x="9"/>
        <item x="5"/>
        <item x="6"/>
        <item x="4"/>
        <item x="11"/>
        <item x="3"/>
        <item x="14"/>
        <item t="default"/>
      </items>
    </pivotField>
    <pivotField showAll="0"/>
    <pivotField dataField="1" numFmtId="8"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_Amount" fld="5" baseField="3" baseItem="0" numFmtId="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8">
    <pivotField showAll="0"/>
    <pivotField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axis="axisRow" showAll="0">
      <items count="5">
        <item x="2"/>
        <item x="0"/>
        <item x="1"/>
        <item x="3"/>
        <item t="default"/>
      </items>
    </pivotField>
    <pivotField showAll="0">
      <items count="16">
        <item x="13"/>
        <item x="2"/>
        <item x="10"/>
        <item x="12"/>
        <item x="8"/>
        <item x="0"/>
        <item x="1"/>
        <item x="7"/>
        <item x="9"/>
        <item x="5"/>
        <item x="6"/>
        <item x="4"/>
        <item x="11"/>
        <item x="3"/>
        <item x="14"/>
        <item t="default"/>
      </items>
    </pivotField>
    <pivotField showAll="0"/>
    <pivotField dataField="1" numFmtId="8" showAll="0"/>
    <pivotField showAll="0"/>
    <pivotField showAll="0"/>
  </pivotFields>
  <rowFields count="1">
    <field x="2"/>
  </rowFields>
  <rowItems count="5">
    <i>
      <x/>
    </i>
    <i>
      <x v="1"/>
    </i>
    <i>
      <x v="2"/>
    </i>
    <i>
      <x v="3"/>
    </i>
    <i t="grand">
      <x/>
    </i>
  </rowItems>
  <colItems count="1">
    <i/>
  </colItems>
  <dataFields count="1">
    <dataField name="Sum of Sales_Amount" fld="5" baseField="2" baseItem="0" numFmtId="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2" name="PivotTable1"/>
    <pivotTable tabId="2" name="PivotTable2"/>
    <pivotTable tabId="2" name="PivotTable3"/>
    <pivotTable tabId="2" name="PivotTable5"/>
  </pivotTables>
  <data>
    <tabular pivotCacheId="1">
      <items count="5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5"/>
  </pivotTables>
  <data>
    <tabular pivotCacheId="1" showMissing="0" crossFilter="none">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1"/>
  </pivotTables>
  <data>
    <tabular pivotCacheId="1">
      <items count="15">
        <i x="13" s="1"/>
        <i x="2" s="1"/>
        <i x="10" s="1"/>
        <i x="12" s="1"/>
        <i x="8" s="1"/>
        <i x="0" s="1"/>
        <i x="1" s="1"/>
        <i x="7" s="1"/>
        <i x="9" s="1"/>
        <i x="5" s="1"/>
        <i x="6" s="1"/>
        <i x="4" s="1"/>
        <i x="11" s="1"/>
        <i x="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startItem="18" style="SlicerStyleDark4" rowHeight="241300"/>
  <slicer name="Region" cache="Slicer_Region" columnCount="2" showCaption="0" style="SlicerStyleDark4" rowHeight="241300"/>
  <slicer name="Product" cache="Slicer_Product" caption="Product"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_Date 1" cache="Slicer_Order_Date" caption="Order_Date" style="SlicerStyleDark4" rowHeight="241300"/>
  <slicer name="Region 1" cache="Slicer_Region" columnCount="2" showCaption="0" style="SlicerStyleDark4" rowHeight="241300"/>
  <slicer name="Product 1" cache="Slicer_Product" caption="Product" style="SlicerStyleDark4" rowHeight="241300"/>
</slicers>
</file>

<file path=xl/tables/table1.xml><?xml version="1.0" encoding="utf-8"?>
<table xmlns="http://schemas.openxmlformats.org/spreadsheetml/2006/main" id="1" name="Table1" displayName="Table1" ref="A1:H56" totalsRowShown="0">
  <autoFilter ref="A1:H56"/>
  <tableColumns count="8">
    <tableColumn id="1" name="Order_ID"/>
    <tableColumn id="2" name="Order_Date"/>
    <tableColumn id="3" name="Region"/>
    <tableColumn id="4" name="Product"/>
    <tableColumn id="5" name="Category"/>
    <tableColumn id="6" name="Sales_Amount" dataDxfId="0"/>
    <tableColumn id="7" name="Profit"/>
    <tableColumn id="8" name="Quantity"/>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J2:J9" totalsRowShown="0">
  <autoFilter ref="J2:J9"/>
  <tableColumns count="1">
    <tableColumn id="1" name="Grand tot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selection activeCell="J15" sqref="J15"/>
    </sheetView>
  </sheetViews>
  <sheetFormatPr defaultRowHeight="14.5" x14ac:dyDescent="0.35"/>
  <cols>
    <col min="1" max="1" width="10.54296875" customWidth="1"/>
    <col min="2" max="2" width="12.7265625" customWidth="1"/>
    <col min="3" max="3" width="8.453125" customWidth="1"/>
    <col min="4" max="4" width="11.36328125" bestFit="1" customWidth="1"/>
    <col min="5" max="5" width="10.26953125" customWidth="1"/>
    <col min="6" max="6" width="14.81640625" style="1" customWidth="1"/>
    <col min="7" max="7" width="7.54296875" customWidth="1"/>
    <col min="8" max="8" width="10.1796875" customWidth="1"/>
    <col min="10" max="10" width="19.36328125" customWidth="1"/>
  </cols>
  <sheetData>
    <row r="1" spans="1:10" x14ac:dyDescent="0.35">
      <c r="A1" t="s">
        <v>0</v>
      </c>
      <c r="B1" t="s">
        <v>1</v>
      </c>
      <c r="C1" t="s">
        <v>2</v>
      </c>
      <c r="D1" t="s">
        <v>3</v>
      </c>
      <c r="E1" t="s">
        <v>4</v>
      </c>
      <c r="F1" s="1" t="s">
        <v>5</v>
      </c>
      <c r="G1" t="s">
        <v>6</v>
      </c>
      <c r="H1" t="s">
        <v>7</v>
      </c>
    </row>
    <row r="2" spans="1:10" x14ac:dyDescent="0.35">
      <c r="A2" t="s">
        <v>8</v>
      </c>
      <c r="B2" t="s">
        <v>9</v>
      </c>
      <c r="C2" t="s">
        <v>10</v>
      </c>
      <c r="D2" t="s">
        <v>11</v>
      </c>
      <c r="E2" t="s">
        <v>12</v>
      </c>
      <c r="F2" s="1">
        <v>55000</v>
      </c>
      <c r="G2">
        <v>8000</v>
      </c>
      <c r="H2">
        <v>2</v>
      </c>
      <c r="J2" t="s">
        <v>140</v>
      </c>
    </row>
    <row r="3" spans="1:10" x14ac:dyDescent="0.35">
      <c r="A3" t="s">
        <v>13</v>
      </c>
      <c r="B3" t="s">
        <v>14</v>
      </c>
      <c r="C3" t="s">
        <v>15</v>
      </c>
      <c r="D3" t="s">
        <v>16</v>
      </c>
      <c r="E3" t="s">
        <v>12</v>
      </c>
      <c r="F3" s="1">
        <v>20000</v>
      </c>
      <c r="G3">
        <v>3000</v>
      </c>
      <c r="H3">
        <v>3</v>
      </c>
      <c r="J3" s="1">
        <f>SUM(Table1[[#All],[Sales_Amount]])</f>
        <v>769200</v>
      </c>
    </row>
    <row r="4" spans="1:10" x14ac:dyDescent="0.35">
      <c r="A4" t="s">
        <v>17</v>
      </c>
      <c r="B4" t="s">
        <v>18</v>
      </c>
      <c r="C4" t="s">
        <v>19</v>
      </c>
      <c r="D4" t="s">
        <v>20</v>
      </c>
      <c r="E4" t="s">
        <v>21</v>
      </c>
      <c r="F4" s="1">
        <v>4500</v>
      </c>
      <c r="G4">
        <v>900</v>
      </c>
      <c r="H4">
        <v>5</v>
      </c>
      <c r="J4" t="s">
        <v>141</v>
      </c>
    </row>
    <row r="5" spans="1:10" x14ac:dyDescent="0.35">
      <c r="A5" t="s">
        <v>22</v>
      </c>
      <c r="B5" t="s">
        <v>23</v>
      </c>
      <c r="C5" t="s">
        <v>24</v>
      </c>
      <c r="D5" t="s">
        <v>25</v>
      </c>
      <c r="E5" t="s">
        <v>21</v>
      </c>
      <c r="F5" s="1">
        <v>12000</v>
      </c>
      <c r="G5">
        <v>2500</v>
      </c>
      <c r="H5">
        <v>2</v>
      </c>
      <c r="J5">
        <f>SUM(Table1[[#All],[Quantity]])</f>
        <v>314</v>
      </c>
    </row>
    <row r="6" spans="1:10" x14ac:dyDescent="0.35">
      <c r="A6" t="s">
        <v>26</v>
      </c>
      <c r="B6" t="s">
        <v>27</v>
      </c>
      <c r="C6" t="s">
        <v>10</v>
      </c>
      <c r="D6" t="s">
        <v>28</v>
      </c>
      <c r="E6" t="s">
        <v>12</v>
      </c>
      <c r="F6" s="1">
        <v>15000</v>
      </c>
      <c r="G6">
        <v>2000</v>
      </c>
      <c r="H6">
        <v>1</v>
      </c>
      <c r="J6" t="s">
        <v>142</v>
      </c>
    </row>
    <row r="7" spans="1:10" x14ac:dyDescent="0.35">
      <c r="A7" t="s">
        <v>29</v>
      </c>
      <c r="B7" t="s">
        <v>30</v>
      </c>
      <c r="C7" t="s">
        <v>15</v>
      </c>
      <c r="D7" t="s">
        <v>31</v>
      </c>
      <c r="E7" t="s">
        <v>32</v>
      </c>
      <c r="F7" s="1">
        <v>1200</v>
      </c>
      <c r="G7">
        <v>300</v>
      </c>
      <c r="H7">
        <v>10</v>
      </c>
      <c r="J7">
        <f>SUM(Table1[[#All],[Profit]])</f>
        <v>127680</v>
      </c>
    </row>
    <row r="8" spans="1:10" x14ac:dyDescent="0.35">
      <c r="A8" t="s">
        <v>33</v>
      </c>
      <c r="B8" t="s">
        <v>34</v>
      </c>
      <c r="C8" t="s">
        <v>19</v>
      </c>
      <c r="D8" t="s">
        <v>35</v>
      </c>
      <c r="E8" t="s">
        <v>32</v>
      </c>
      <c r="F8" s="1">
        <v>500</v>
      </c>
      <c r="G8">
        <v>150</v>
      </c>
      <c r="H8">
        <v>25</v>
      </c>
      <c r="J8" t="s">
        <v>143</v>
      </c>
    </row>
    <row r="9" spans="1:10" x14ac:dyDescent="0.35">
      <c r="A9" t="s">
        <v>36</v>
      </c>
      <c r="B9" t="s">
        <v>37</v>
      </c>
      <c r="C9" t="s">
        <v>24</v>
      </c>
      <c r="D9" t="s">
        <v>38</v>
      </c>
      <c r="E9" t="s">
        <v>12</v>
      </c>
      <c r="F9" s="1">
        <v>18000</v>
      </c>
      <c r="G9">
        <v>2800</v>
      </c>
      <c r="H9">
        <v>2</v>
      </c>
      <c r="J9" s="6">
        <f>AVERAGE(Table1[[#All],[Sales_Amount]])</f>
        <v>13985.454545454546</v>
      </c>
    </row>
    <row r="10" spans="1:10" x14ac:dyDescent="0.35">
      <c r="A10" t="s">
        <v>39</v>
      </c>
      <c r="B10" t="s">
        <v>40</v>
      </c>
      <c r="C10" t="s">
        <v>10</v>
      </c>
      <c r="D10" t="s">
        <v>41</v>
      </c>
      <c r="E10" t="s">
        <v>12</v>
      </c>
      <c r="F10" s="1">
        <v>3000</v>
      </c>
      <c r="G10">
        <v>600</v>
      </c>
      <c r="H10">
        <v>4</v>
      </c>
    </row>
    <row r="11" spans="1:10" x14ac:dyDescent="0.35">
      <c r="A11" t="s">
        <v>42</v>
      </c>
      <c r="B11" t="s">
        <v>43</v>
      </c>
      <c r="C11" t="s">
        <v>15</v>
      </c>
      <c r="D11" t="s">
        <v>44</v>
      </c>
      <c r="E11" t="s">
        <v>12</v>
      </c>
      <c r="F11" s="1">
        <v>1800</v>
      </c>
      <c r="G11">
        <v>400</v>
      </c>
      <c r="H11">
        <v>6</v>
      </c>
    </row>
    <row r="12" spans="1:10" x14ac:dyDescent="0.35">
      <c r="A12" t="s">
        <v>45</v>
      </c>
      <c r="B12" t="s">
        <v>46</v>
      </c>
      <c r="C12" t="s">
        <v>19</v>
      </c>
      <c r="D12" t="s">
        <v>47</v>
      </c>
      <c r="E12" t="s">
        <v>21</v>
      </c>
      <c r="F12" s="1">
        <v>16000</v>
      </c>
      <c r="G12">
        <v>3200</v>
      </c>
      <c r="H12">
        <v>2</v>
      </c>
    </row>
    <row r="13" spans="1:10" x14ac:dyDescent="0.35">
      <c r="A13" t="s">
        <v>48</v>
      </c>
      <c r="B13" t="s">
        <v>49</v>
      </c>
      <c r="C13" t="s">
        <v>24</v>
      </c>
      <c r="D13" t="s">
        <v>50</v>
      </c>
      <c r="E13" t="s">
        <v>21</v>
      </c>
      <c r="F13" s="1">
        <v>45000</v>
      </c>
      <c r="G13">
        <v>7000</v>
      </c>
      <c r="H13">
        <v>1</v>
      </c>
    </row>
    <row r="14" spans="1:10" x14ac:dyDescent="0.35">
      <c r="A14" t="s">
        <v>51</v>
      </c>
      <c r="B14" t="s">
        <v>52</v>
      </c>
      <c r="C14" t="s">
        <v>10</v>
      </c>
      <c r="D14" t="s">
        <v>53</v>
      </c>
      <c r="E14" t="s">
        <v>12</v>
      </c>
      <c r="F14" s="1">
        <v>4000</v>
      </c>
      <c r="G14">
        <v>900</v>
      </c>
      <c r="H14">
        <v>3</v>
      </c>
    </row>
    <row r="15" spans="1:10" x14ac:dyDescent="0.35">
      <c r="A15" t="s">
        <v>54</v>
      </c>
      <c r="B15" t="s">
        <v>55</v>
      </c>
      <c r="C15" t="s">
        <v>15</v>
      </c>
      <c r="D15" t="s">
        <v>56</v>
      </c>
      <c r="E15" t="s">
        <v>32</v>
      </c>
      <c r="F15" s="1">
        <v>900</v>
      </c>
      <c r="G15">
        <v>200</v>
      </c>
      <c r="H15">
        <v>5</v>
      </c>
    </row>
    <row r="16" spans="1:10" x14ac:dyDescent="0.35">
      <c r="A16" t="s">
        <v>57</v>
      </c>
      <c r="B16" t="s">
        <v>58</v>
      </c>
      <c r="C16" t="s">
        <v>19</v>
      </c>
      <c r="D16" t="s">
        <v>59</v>
      </c>
      <c r="E16" t="s">
        <v>32</v>
      </c>
      <c r="F16" s="1">
        <v>3500</v>
      </c>
      <c r="G16">
        <v>800</v>
      </c>
      <c r="H16">
        <v>2</v>
      </c>
    </row>
    <row r="17" spans="1:8" x14ac:dyDescent="0.35">
      <c r="A17" t="s">
        <v>60</v>
      </c>
      <c r="B17" t="s">
        <v>61</v>
      </c>
      <c r="C17" t="s">
        <v>24</v>
      </c>
      <c r="D17" t="s">
        <v>11</v>
      </c>
      <c r="E17" t="s">
        <v>12</v>
      </c>
      <c r="F17" s="1">
        <v>60000</v>
      </c>
      <c r="G17">
        <v>9000</v>
      </c>
      <c r="H17">
        <v>2</v>
      </c>
    </row>
    <row r="18" spans="1:8" x14ac:dyDescent="0.35">
      <c r="A18" t="s">
        <v>62</v>
      </c>
      <c r="B18" t="s">
        <v>63</v>
      </c>
      <c r="C18" t="s">
        <v>10</v>
      </c>
      <c r="D18" t="s">
        <v>16</v>
      </c>
      <c r="E18" t="s">
        <v>12</v>
      </c>
      <c r="F18" s="1">
        <v>22000</v>
      </c>
      <c r="G18">
        <v>3500</v>
      </c>
      <c r="H18">
        <v>2</v>
      </c>
    </row>
    <row r="19" spans="1:8" x14ac:dyDescent="0.35">
      <c r="A19" t="s">
        <v>64</v>
      </c>
      <c r="B19" t="s">
        <v>65</v>
      </c>
      <c r="C19" t="s">
        <v>15</v>
      </c>
      <c r="D19" t="s">
        <v>20</v>
      </c>
      <c r="E19" t="s">
        <v>21</v>
      </c>
      <c r="F19" s="1">
        <v>4800</v>
      </c>
      <c r="G19">
        <v>1000</v>
      </c>
      <c r="H19">
        <v>4</v>
      </c>
    </row>
    <row r="20" spans="1:8" x14ac:dyDescent="0.35">
      <c r="A20" t="s">
        <v>66</v>
      </c>
      <c r="B20" t="s">
        <v>67</v>
      </c>
      <c r="C20" t="s">
        <v>19</v>
      </c>
      <c r="D20" t="s">
        <v>25</v>
      </c>
      <c r="E20" t="s">
        <v>21</v>
      </c>
      <c r="F20" s="1">
        <v>13000</v>
      </c>
      <c r="G20">
        <v>2600</v>
      </c>
      <c r="H20">
        <v>2</v>
      </c>
    </row>
    <row r="21" spans="1:8" x14ac:dyDescent="0.35">
      <c r="A21" t="s">
        <v>68</v>
      </c>
      <c r="B21" t="s">
        <v>69</v>
      </c>
      <c r="C21" t="s">
        <v>24</v>
      </c>
      <c r="D21" t="s">
        <v>28</v>
      </c>
      <c r="E21" t="s">
        <v>12</v>
      </c>
      <c r="F21" s="1">
        <v>14500</v>
      </c>
      <c r="G21">
        <v>2100</v>
      </c>
      <c r="H21">
        <v>1</v>
      </c>
    </row>
    <row r="22" spans="1:8" x14ac:dyDescent="0.35">
      <c r="A22" t="s">
        <v>70</v>
      </c>
      <c r="B22" t="s">
        <v>71</v>
      </c>
      <c r="C22" t="s">
        <v>10</v>
      </c>
      <c r="D22" t="s">
        <v>31</v>
      </c>
      <c r="E22" t="s">
        <v>32</v>
      </c>
      <c r="F22" s="1">
        <v>1500</v>
      </c>
      <c r="G22">
        <v>400</v>
      </c>
      <c r="H22">
        <v>12</v>
      </c>
    </row>
    <row r="23" spans="1:8" x14ac:dyDescent="0.35">
      <c r="A23" t="s">
        <v>72</v>
      </c>
      <c r="B23" t="s">
        <v>73</v>
      </c>
      <c r="C23" t="s">
        <v>15</v>
      </c>
      <c r="D23" t="s">
        <v>35</v>
      </c>
      <c r="E23" t="s">
        <v>32</v>
      </c>
      <c r="F23" s="1">
        <v>600</v>
      </c>
      <c r="G23">
        <v>180</v>
      </c>
      <c r="H23">
        <v>30</v>
      </c>
    </row>
    <row r="24" spans="1:8" x14ac:dyDescent="0.35">
      <c r="A24" t="s">
        <v>74</v>
      </c>
      <c r="B24" t="s">
        <v>75</v>
      </c>
      <c r="C24" t="s">
        <v>19</v>
      </c>
      <c r="D24" t="s">
        <v>38</v>
      </c>
      <c r="E24" t="s">
        <v>12</v>
      </c>
      <c r="F24" s="1">
        <v>17500</v>
      </c>
      <c r="G24">
        <v>2700</v>
      </c>
      <c r="H24">
        <v>2</v>
      </c>
    </row>
    <row r="25" spans="1:8" x14ac:dyDescent="0.35">
      <c r="A25" t="s">
        <v>76</v>
      </c>
      <c r="B25" t="s">
        <v>77</v>
      </c>
      <c r="C25" t="s">
        <v>24</v>
      </c>
      <c r="D25" t="s">
        <v>41</v>
      </c>
      <c r="E25" t="s">
        <v>12</v>
      </c>
      <c r="F25" s="1">
        <v>3200</v>
      </c>
      <c r="G25">
        <v>650</v>
      </c>
      <c r="H25">
        <v>4</v>
      </c>
    </row>
    <row r="26" spans="1:8" x14ac:dyDescent="0.35">
      <c r="A26" t="s">
        <v>78</v>
      </c>
      <c r="B26" t="s">
        <v>79</v>
      </c>
      <c r="C26" t="s">
        <v>10</v>
      </c>
      <c r="D26" t="s">
        <v>44</v>
      </c>
      <c r="E26" t="s">
        <v>12</v>
      </c>
      <c r="F26" s="1">
        <v>2000</v>
      </c>
      <c r="G26">
        <v>450</v>
      </c>
      <c r="H26">
        <v>5</v>
      </c>
    </row>
    <row r="27" spans="1:8" x14ac:dyDescent="0.35">
      <c r="A27" t="s">
        <v>80</v>
      </c>
      <c r="B27" t="s">
        <v>81</v>
      </c>
      <c r="C27" t="s">
        <v>15</v>
      </c>
      <c r="D27" t="s">
        <v>47</v>
      </c>
      <c r="E27" t="s">
        <v>21</v>
      </c>
      <c r="F27" s="1">
        <v>15500</v>
      </c>
      <c r="G27">
        <v>3000</v>
      </c>
      <c r="H27">
        <v>2</v>
      </c>
    </row>
    <row r="28" spans="1:8" x14ac:dyDescent="0.35">
      <c r="A28" t="s">
        <v>82</v>
      </c>
      <c r="B28" t="s">
        <v>83</v>
      </c>
      <c r="C28" t="s">
        <v>19</v>
      </c>
      <c r="D28" t="s">
        <v>50</v>
      </c>
      <c r="E28" t="s">
        <v>21</v>
      </c>
      <c r="F28" s="1">
        <v>47000</v>
      </c>
      <c r="G28">
        <v>7500</v>
      </c>
      <c r="H28">
        <v>1</v>
      </c>
    </row>
    <row r="29" spans="1:8" x14ac:dyDescent="0.35">
      <c r="A29" t="s">
        <v>84</v>
      </c>
      <c r="B29" t="s">
        <v>85</v>
      </c>
      <c r="C29" t="s">
        <v>24</v>
      </c>
      <c r="D29" t="s">
        <v>53</v>
      </c>
      <c r="E29" t="s">
        <v>12</v>
      </c>
      <c r="F29" s="1">
        <v>4200</v>
      </c>
      <c r="G29">
        <v>950</v>
      </c>
      <c r="H29">
        <v>3</v>
      </c>
    </row>
    <row r="30" spans="1:8" x14ac:dyDescent="0.35">
      <c r="A30" t="s">
        <v>86</v>
      </c>
      <c r="B30" t="s">
        <v>87</v>
      </c>
      <c r="C30" t="s">
        <v>10</v>
      </c>
      <c r="D30" t="s">
        <v>56</v>
      </c>
      <c r="E30" t="s">
        <v>32</v>
      </c>
      <c r="F30" s="1">
        <v>1000</v>
      </c>
      <c r="G30">
        <v>250</v>
      </c>
      <c r="H30">
        <v>6</v>
      </c>
    </row>
    <row r="31" spans="1:8" x14ac:dyDescent="0.35">
      <c r="A31" t="s">
        <v>88</v>
      </c>
      <c r="B31" t="s">
        <v>89</v>
      </c>
      <c r="C31" t="s">
        <v>15</v>
      </c>
      <c r="D31" t="s">
        <v>59</v>
      </c>
      <c r="E31" t="s">
        <v>32</v>
      </c>
      <c r="F31" s="1">
        <v>3800</v>
      </c>
      <c r="G31">
        <v>850</v>
      </c>
      <c r="H31">
        <v>2</v>
      </c>
    </row>
    <row r="32" spans="1:8" x14ac:dyDescent="0.35">
      <c r="A32" t="s">
        <v>90</v>
      </c>
      <c r="B32" t="s">
        <v>91</v>
      </c>
      <c r="C32" t="s">
        <v>19</v>
      </c>
      <c r="D32" t="s">
        <v>11</v>
      </c>
      <c r="E32" t="s">
        <v>12</v>
      </c>
      <c r="F32" s="1">
        <v>58000</v>
      </c>
      <c r="G32">
        <v>8500</v>
      </c>
      <c r="H32">
        <v>2</v>
      </c>
    </row>
    <row r="33" spans="1:8" x14ac:dyDescent="0.35">
      <c r="A33" t="s">
        <v>92</v>
      </c>
      <c r="B33" t="s">
        <v>93</v>
      </c>
      <c r="C33" t="s">
        <v>24</v>
      </c>
      <c r="D33" t="s">
        <v>16</v>
      </c>
      <c r="E33" t="s">
        <v>12</v>
      </c>
      <c r="F33" s="1">
        <v>21000</v>
      </c>
      <c r="G33">
        <v>3200</v>
      </c>
      <c r="H33">
        <v>3</v>
      </c>
    </row>
    <row r="34" spans="1:8" x14ac:dyDescent="0.35">
      <c r="A34" t="s">
        <v>94</v>
      </c>
      <c r="B34" t="s">
        <v>95</v>
      </c>
      <c r="C34" t="s">
        <v>10</v>
      </c>
      <c r="D34" t="s">
        <v>20</v>
      </c>
      <c r="E34" t="s">
        <v>21</v>
      </c>
      <c r="F34" s="1">
        <v>5000</v>
      </c>
      <c r="G34">
        <v>1100</v>
      </c>
      <c r="H34">
        <v>4</v>
      </c>
    </row>
    <row r="35" spans="1:8" x14ac:dyDescent="0.35">
      <c r="A35" t="s">
        <v>96</v>
      </c>
      <c r="B35" t="s">
        <v>97</v>
      </c>
      <c r="C35" t="s">
        <v>15</v>
      </c>
      <c r="D35" t="s">
        <v>25</v>
      </c>
      <c r="E35" t="s">
        <v>21</v>
      </c>
      <c r="F35" s="1">
        <v>12500</v>
      </c>
      <c r="G35">
        <v>2400</v>
      </c>
      <c r="H35">
        <v>2</v>
      </c>
    </row>
    <row r="36" spans="1:8" x14ac:dyDescent="0.35">
      <c r="A36" t="s">
        <v>98</v>
      </c>
      <c r="B36" t="s">
        <v>99</v>
      </c>
      <c r="C36" t="s">
        <v>19</v>
      </c>
      <c r="D36" t="s">
        <v>28</v>
      </c>
      <c r="E36" t="s">
        <v>12</v>
      </c>
      <c r="F36" s="1">
        <v>14800</v>
      </c>
      <c r="G36">
        <v>2200</v>
      </c>
      <c r="H36">
        <v>1</v>
      </c>
    </row>
    <row r="37" spans="1:8" x14ac:dyDescent="0.35">
      <c r="A37" t="s">
        <v>100</v>
      </c>
      <c r="B37" t="s">
        <v>101</v>
      </c>
      <c r="C37" t="s">
        <v>24</v>
      </c>
      <c r="D37" t="s">
        <v>31</v>
      </c>
      <c r="E37" t="s">
        <v>32</v>
      </c>
      <c r="F37" s="1">
        <v>1600</v>
      </c>
      <c r="G37">
        <v>450</v>
      </c>
      <c r="H37">
        <v>15</v>
      </c>
    </row>
    <row r="38" spans="1:8" x14ac:dyDescent="0.35">
      <c r="A38" t="s">
        <v>102</v>
      </c>
      <c r="B38" t="s">
        <v>103</v>
      </c>
      <c r="C38" t="s">
        <v>10</v>
      </c>
      <c r="D38" t="s">
        <v>35</v>
      </c>
      <c r="E38" t="s">
        <v>32</v>
      </c>
      <c r="F38" s="1">
        <v>700</v>
      </c>
      <c r="G38">
        <v>200</v>
      </c>
      <c r="H38">
        <v>35</v>
      </c>
    </row>
    <row r="39" spans="1:8" x14ac:dyDescent="0.35">
      <c r="A39" t="s">
        <v>104</v>
      </c>
      <c r="B39" t="s">
        <v>105</v>
      </c>
      <c r="C39" t="s">
        <v>15</v>
      </c>
      <c r="D39" t="s">
        <v>38</v>
      </c>
      <c r="E39" t="s">
        <v>12</v>
      </c>
      <c r="F39" s="1">
        <v>18500</v>
      </c>
      <c r="G39">
        <v>2900</v>
      </c>
      <c r="H39">
        <v>2</v>
      </c>
    </row>
    <row r="40" spans="1:8" x14ac:dyDescent="0.35">
      <c r="A40" t="s">
        <v>106</v>
      </c>
      <c r="B40" t="s">
        <v>107</v>
      </c>
      <c r="C40" t="s">
        <v>19</v>
      </c>
      <c r="D40" t="s">
        <v>41</v>
      </c>
      <c r="E40" t="s">
        <v>12</v>
      </c>
      <c r="F40" s="1">
        <v>3400</v>
      </c>
      <c r="G40">
        <v>700</v>
      </c>
      <c r="H40">
        <v>4</v>
      </c>
    </row>
    <row r="41" spans="1:8" x14ac:dyDescent="0.35">
      <c r="A41" t="s">
        <v>108</v>
      </c>
      <c r="B41" t="s">
        <v>109</v>
      </c>
      <c r="C41" t="s">
        <v>24</v>
      </c>
      <c r="D41" t="s">
        <v>44</v>
      </c>
      <c r="E41" t="s">
        <v>12</v>
      </c>
      <c r="F41" s="1">
        <v>2100</v>
      </c>
      <c r="G41">
        <v>500</v>
      </c>
      <c r="H41">
        <v>5</v>
      </c>
    </row>
    <row r="42" spans="1:8" x14ac:dyDescent="0.35">
      <c r="A42" t="s">
        <v>110</v>
      </c>
      <c r="B42" t="s">
        <v>111</v>
      </c>
      <c r="C42" t="s">
        <v>10</v>
      </c>
      <c r="D42" t="s">
        <v>47</v>
      </c>
      <c r="E42" t="s">
        <v>21</v>
      </c>
      <c r="F42" s="1">
        <v>16500</v>
      </c>
      <c r="G42">
        <v>3300</v>
      </c>
      <c r="H42">
        <v>2</v>
      </c>
    </row>
    <row r="43" spans="1:8" x14ac:dyDescent="0.35">
      <c r="A43" t="s">
        <v>112</v>
      </c>
      <c r="B43" t="s">
        <v>113</v>
      </c>
      <c r="C43" t="s">
        <v>15</v>
      </c>
      <c r="D43" t="s">
        <v>50</v>
      </c>
      <c r="E43" t="s">
        <v>21</v>
      </c>
      <c r="F43" s="1">
        <v>48000</v>
      </c>
      <c r="G43">
        <v>7800</v>
      </c>
      <c r="H43">
        <v>1</v>
      </c>
    </row>
    <row r="44" spans="1:8" x14ac:dyDescent="0.35">
      <c r="A44" t="s">
        <v>114</v>
      </c>
      <c r="B44" t="s">
        <v>115</v>
      </c>
      <c r="C44" t="s">
        <v>19</v>
      </c>
      <c r="D44" t="s">
        <v>53</v>
      </c>
      <c r="E44" t="s">
        <v>12</v>
      </c>
      <c r="F44" s="1">
        <v>4500</v>
      </c>
      <c r="G44">
        <v>1000</v>
      </c>
      <c r="H44">
        <v>3</v>
      </c>
    </row>
    <row r="45" spans="1:8" x14ac:dyDescent="0.35">
      <c r="A45" t="s">
        <v>116</v>
      </c>
      <c r="B45" t="s">
        <v>117</v>
      </c>
      <c r="C45" t="s">
        <v>24</v>
      </c>
      <c r="D45" t="s">
        <v>56</v>
      </c>
      <c r="E45" t="s">
        <v>32</v>
      </c>
      <c r="F45" s="1">
        <v>1100</v>
      </c>
      <c r="G45">
        <v>300</v>
      </c>
      <c r="H45">
        <v>6</v>
      </c>
    </row>
    <row r="46" spans="1:8" x14ac:dyDescent="0.35">
      <c r="A46" t="s">
        <v>118</v>
      </c>
      <c r="B46" t="s">
        <v>119</v>
      </c>
      <c r="C46" t="s">
        <v>10</v>
      </c>
      <c r="D46" t="s">
        <v>59</v>
      </c>
      <c r="E46" t="s">
        <v>32</v>
      </c>
      <c r="F46" s="1">
        <v>4000</v>
      </c>
      <c r="G46">
        <v>900</v>
      </c>
      <c r="H46">
        <v>2</v>
      </c>
    </row>
    <row r="47" spans="1:8" x14ac:dyDescent="0.35">
      <c r="A47" t="s">
        <v>120</v>
      </c>
      <c r="B47" t="s">
        <v>121</v>
      </c>
      <c r="C47" t="s">
        <v>15</v>
      </c>
      <c r="D47" t="s">
        <v>11</v>
      </c>
      <c r="E47" t="s">
        <v>12</v>
      </c>
      <c r="F47" s="1">
        <v>62000</v>
      </c>
      <c r="G47">
        <v>9500</v>
      </c>
      <c r="H47">
        <v>2</v>
      </c>
    </row>
    <row r="48" spans="1:8" x14ac:dyDescent="0.35">
      <c r="A48" t="s">
        <v>122</v>
      </c>
      <c r="B48" t="s">
        <v>123</v>
      </c>
      <c r="C48" t="s">
        <v>19</v>
      </c>
      <c r="D48" t="s">
        <v>16</v>
      </c>
      <c r="E48" t="s">
        <v>12</v>
      </c>
      <c r="F48" s="1">
        <v>23000</v>
      </c>
      <c r="G48">
        <v>3600</v>
      </c>
      <c r="H48">
        <v>2</v>
      </c>
    </row>
    <row r="49" spans="1:8" x14ac:dyDescent="0.35">
      <c r="A49" t="s">
        <v>124</v>
      </c>
      <c r="B49" t="s">
        <v>125</v>
      </c>
      <c r="C49" t="s">
        <v>24</v>
      </c>
      <c r="D49" t="s">
        <v>20</v>
      </c>
      <c r="E49" t="s">
        <v>21</v>
      </c>
      <c r="F49" s="1">
        <v>5200</v>
      </c>
      <c r="G49">
        <v>1200</v>
      </c>
      <c r="H49">
        <v>4</v>
      </c>
    </row>
    <row r="50" spans="1:8" x14ac:dyDescent="0.35">
      <c r="A50" t="s">
        <v>126</v>
      </c>
      <c r="B50" t="s">
        <v>127</v>
      </c>
      <c r="C50" t="s">
        <v>10</v>
      </c>
      <c r="D50" t="s">
        <v>25</v>
      </c>
      <c r="E50" t="s">
        <v>21</v>
      </c>
      <c r="F50" s="1">
        <v>13500</v>
      </c>
      <c r="G50">
        <v>2700</v>
      </c>
      <c r="H50">
        <v>2</v>
      </c>
    </row>
    <row r="51" spans="1:8" x14ac:dyDescent="0.35">
      <c r="A51" t="s">
        <v>128</v>
      </c>
      <c r="B51" t="s">
        <v>129</v>
      </c>
      <c r="C51" t="s">
        <v>15</v>
      </c>
      <c r="D51" t="s">
        <v>28</v>
      </c>
      <c r="E51" t="s">
        <v>12</v>
      </c>
      <c r="F51" s="1">
        <v>15500</v>
      </c>
      <c r="G51">
        <v>2300</v>
      </c>
      <c r="H51">
        <v>1</v>
      </c>
    </row>
    <row r="52" spans="1:8" x14ac:dyDescent="0.35">
      <c r="A52" t="s">
        <v>130</v>
      </c>
      <c r="B52" t="s">
        <v>131</v>
      </c>
      <c r="C52" t="s">
        <v>19</v>
      </c>
      <c r="D52" t="s">
        <v>31</v>
      </c>
      <c r="E52" t="s">
        <v>32</v>
      </c>
      <c r="F52" s="1">
        <v>1700</v>
      </c>
      <c r="G52">
        <v>500</v>
      </c>
      <c r="H52">
        <v>14</v>
      </c>
    </row>
    <row r="53" spans="1:8" x14ac:dyDescent="0.35">
      <c r="A53" t="s">
        <v>132</v>
      </c>
      <c r="B53" t="s">
        <v>133</v>
      </c>
      <c r="C53" t="s">
        <v>24</v>
      </c>
      <c r="D53" t="s">
        <v>35</v>
      </c>
      <c r="E53" t="s">
        <v>32</v>
      </c>
      <c r="F53" s="1">
        <v>800</v>
      </c>
      <c r="G53">
        <v>250</v>
      </c>
      <c r="H53">
        <v>40</v>
      </c>
    </row>
    <row r="54" spans="1:8" x14ac:dyDescent="0.35">
      <c r="A54" t="s">
        <v>134</v>
      </c>
      <c r="B54" t="s">
        <v>135</v>
      </c>
      <c r="C54" t="s">
        <v>10</v>
      </c>
      <c r="D54" t="s">
        <v>38</v>
      </c>
      <c r="E54" t="s">
        <v>12</v>
      </c>
      <c r="F54" s="1">
        <v>19000</v>
      </c>
      <c r="G54">
        <v>3000</v>
      </c>
      <c r="H54">
        <v>2</v>
      </c>
    </row>
    <row r="55" spans="1:8" x14ac:dyDescent="0.35">
      <c r="A55" t="s">
        <v>136</v>
      </c>
      <c r="B55" t="s">
        <v>137</v>
      </c>
      <c r="C55" t="s">
        <v>15</v>
      </c>
      <c r="D55" t="s">
        <v>41</v>
      </c>
      <c r="E55" t="s">
        <v>12</v>
      </c>
      <c r="F55" s="1">
        <v>3600</v>
      </c>
      <c r="G55">
        <v>750</v>
      </c>
      <c r="H55">
        <v>4</v>
      </c>
    </row>
    <row r="56" spans="1:8" x14ac:dyDescent="0.35">
      <c r="A56" t="s">
        <v>138</v>
      </c>
      <c r="B56" t="s">
        <v>139</v>
      </c>
      <c r="C56" t="s">
        <v>19</v>
      </c>
      <c r="D56" t="s">
        <v>44</v>
      </c>
      <c r="E56" t="s">
        <v>12</v>
      </c>
      <c r="F56" s="1">
        <v>2200</v>
      </c>
      <c r="G56">
        <v>550</v>
      </c>
      <c r="H56">
        <v>5</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59"/>
  <sheetViews>
    <sheetView topLeftCell="A29" workbookViewId="0">
      <selection activeCell="A7" sqref="A7"/>
    </sheetView>
  </sheetViews>
  <sheetFormatPr defaultRowHeight="14.5" x14ac:dyDescent="0.35"/>
  <cols>
    <col min="1" max="1" width="12.36328125" bestFit="1" customWidth="1"/>
    <col min="2" max="2" width="19.26953125" bestFit="1" customWidth="1"/>
    <col min="4" max="4" width="12.36328125" customWidth="1"/>
    <col min="5" max="5" width="19.26953125" customWidth="1"/>
    <col min="7" max="7" width="12.36328125" customWidth="1"/>
    <col min="8" max="8" width="19.26953125" customWidth="1"/>
    <col min="10" max="10" width="12.36328125" customWidth="1"/>
    <col min="11" max="11" width="14.54296875" customWidth="1"/>
  </cols>
  <sheetData>
    <row r="3" spans="1:11" x14ac:dyDescent="0.35">
      <c r="A3" s="2" t="s">
        <v>144</v>
      </c>
      <c r="B3" t="s">
        <v>146</v>
      </c>
      <c r="D3" s="2" t="s">
        <v>144</v>
      </c>
      <c r="E3" t="s">
        <v>146</v>
      </c>
      <c r="G3" s="2" t="s">
        <v>144</v>
      </c>
      <c r="H3" t="s">
        <v>146</v>
      </c>
      <c r="J3" s="2" t="s">
        <v>144</v>
      </c>
      <c r="K3" t="s">
        <v>147</v>
      </c>
    </row>
    <row r="4" spans="1:11" x14ac:dyDescent="0.35">
      <c r="A4" s="3" t="s">
        <v>19</v>
      </c>
      <c r="B4" s="5">
        <v>209600</v>
      </c>
      <c r="D4" s="3" t="s">
        <v>56</v>
      </c>
      <c r="E4" s="5">
        <v>3000</v>
      </c>
      <c r="G4" s="3" t="s">
        <v>9</v>
      </c>
      <c r="H4" s="5">
        <v>55000</v>
      </c>
      <c r="J4" s="3" t="s">
        <v>56</v>
      </c>
      <c r="K4" s="4">
        <v>17</v>
      </c>
    </row>
    <row r="5" spans="1:11" x14ac:dyDescent="0.35">
      <c r="A5" s="3" t="s">
        <v>10</v>
      </c>
      <c r="B5" s="5">
        <v>162200</v>
      </c>
      <c r="D5" s="3" t="s">
        <v>20</v>
      </c>
      <c r="E5" s="5">
        <v>19500</v>
      </c>
      <c r="G5" s="3" t="s">
        <v>14</v>
      </c>
      <c r="H5" s="5">
        <v>20000</v>
      </c>
      <c r="J5" s="3" t="s">
        <v>20</v>
      </c>
      <c r="K5" s="4">
        <v>17</v>
      </c>
    </row>
    <row r="6" spans="1:11" x14ac:dyDescent="0.35">
      <c r="A6" s="3" t="s">
        <v>15</v>
      </c>
      <c r="B6" s="5">
        <v>208700</v>
      </c>
      <c r="D6" s="3" t="s">
        <v>47</v>
      </c>
      <c r="E6" s="5">
        <v>48000</v>
      </c>
      <c r="G6" s="3" t="s">
        <v>18</v>
      </c>
      <c r="H6" s="5">
        <v>4500</v>
      </c>
      <c r="J6" s="3" t="s">
        <v>47</v>
      </c>
      <c r="K6" s="4">
        <v>6</v>
      </c>
    </row>
    <row r="7" spans="1:11" x14ac:dyDescent="0.35">
      <c r="A7" s="3" t="s">
        <v>24</v>
      </c>
      <c r="B7" s="5">
        <v>188700</v>
      </c>
      <c r="D7" s="3" t="s">
        <v>53</v>
      </c>
      <c r="E7" s="5">
        <v>12700</v>
      </c>
      <c r="G7" s="3" t="s">
        <v>23</v>
      </c>
      <c r="H7" s="5">
        <v>12000</v>
      </c>
      <c r="J7" s="3" t="s">
        <v>53</v>
      </c>
      <c r="K7" s="4">
        <v>9</v>
      </c>
    </row>
    <row r="8" spans="1:11" x14ac:dyDescent="0.35">
      <c r="A8" s="3" t="s">
        <v>145</v>
      </c>
      <c r="B8" s="5">
        <v>769200</v>
      </c>
      <c r="D8" s="3" t="s">
        <v>41</v>
      </c>
      <c r="E8" s="5">
        <v>13200</v>
      </c>
      <c r="G8" s="3" t="s">
        <v>27</v>
      </c>
      <c r="H8" s="5">
        <v>15000</v>
      </c>
      <c r="J8" s="3" t="s">
        <v>41</v>
      </c>
      <c r="K8" s="4">
        <v>16</v>
      </c>
    </row>
    <row r="9" spans="1:11" x14ac:dyDescent="0.35">
      <c r="D9" s="3" t="s">
        <v>11</v>
      </c>
      <c r="E9" s="5">
        <v>235000</v>
      </c>
      <c r="G9" s="3" t="s">
        <v>30</v>
      </c>
      <c r="H9" s="5">
        <v>1200</v>
      </c>
      <c r="J9" s="3" t="s">
        <v>11</v>
      </c>
      <c r="K9" s="4">
        <v>8</v>
      </c>
    </row>
    <row r="10" spans="1:11" x14ac:dyDescent="0.35">
      <c r="D10" s="3" t="s">
        <v>16</v>
      </c>
      <c r="E10" s="5">
        <v>86000</v>
      </c>
      <c r="G10" s="3" t="s">
        <v>34</v>
      </c>
      <c r="H10" s="5">
        <v>500</v>
      </c>
      <c r="J10" s="3" t="s">
        <v>16</v>
      </c>
      <c r="K10" s="4">
        <v>10</v>
      </c>
    </row>
    <row r="11" spans="1:11" x14ac:dyDescent="0.35">
      <c r="D11" s="3" t="s">
        <v>38</v>
      </c>
      <c r="E11" s="5">
        <v>73000</v>
      </c>
      <c r="G11" s="3" t="s">
        <v>37</v>
      </c>
      <c r="H11" s="5">
        <v>18000</v>
      </c>
      <c r="J11" s="3" t="s">
        <v>38</v>
      </c>
      <c r="K11" s="4">
        <v>8</v>
      </c>
    </row>
    <row r="12" spans="1:11" x14ac:dyDescent="0.35">
      <c r="D12" s="3" t="s">
        <v>44</v>
      </c>
      <c r="E12" s="5">
        <v>8100</v>
      </c>
      <c r="G12" s="3" t="s">
        <v>40</v>
      </c>
      <c r="H12" s="5">
        <v>3000</v>
      </c>
      <c r="J12" s="3" t="s">
        <v>44</v>
      </c>
      <c r="K12" s="4">
        <v>21</v>
      </c>
    </row>
    <row r="13" spans="1:11" x14ac:dyDescent="0.35">
      <c r="D13" s="3" t="s">
        <v>31</v>
      </c>
      <c r="E13" s="5">
        <v>6000</v>
      </c>
      <c r="G13" s="3" t="s">
        <v>43</v>
      </c>
      <c r="H13" s="5">
        <v>1800</v>
      </c>
      <c r="J13" s="3" t="s">
        <v>31</v>
      </c>
      <c r="K13" s="4">
        <v>51</v>
      </c>
    </row>
    <row r="14" spans="1:11" x14ac:dyDescent="0.35">
      <c r="D14" s="3" t="s">
        <v>35</v>
      </c>
      <c r="E14" s="5">
        <v>2600</v>
      </c>
      <c r="G14" s="3" t="s">
        <v>46</v>
      </c>
      <c r="H14" s="5">
        <v>16000</v>
      </c>
      <c r="J14" s="3" t="s">
        <v>35</v>
      </c>
      <c r="K14" s="4">
        <v>130</v>
      </c>
    </row>
    <row r="15" spans="1:11" x14ac:dyDescent="0.35">
      <c r="D15" s="3" t="s">
        <v>28</v>
      </c>
      <c r="E15" s="5">
        <v>59800</v>
      </c>
      <c r="G15" s="3" t="s">
        <v>49</v>
      </c>
      <c r="H15" s="5">
        <v>45000</v>
      </c>
      <c r="J15" s="3" t="s">
        <v>28</v>
      </c>
      <c r="K15" s="4">
        <v>4</v>
      </c>
    </row>
    <row r="16" spans="1:11" x14ac:dyDescent="0.35">
      <c r="D16" s="3" t="s">
        <v>50</v>
      </c>
      <c r="E16" s="5">
        <v>140000</v>
      </c>
      <c r="G16" s="3" t="s">
        <v>52</v>
      </c>
      <c r="H16" s="5">
        <v>4000</v>
      </c>
      <c r="J16" s="3" t="s">
        <v>50</v>
      </c>
      <c r="K16" s="4">
        <v>3</v>
      </c>
    </row>
    <row r="17" spans="4:11" x14ac:dyDescent="0.35">
      <c r="D17" s="3" t="s">
        <v>25</v>
      </c>
      <c r="E17" s="5">
        <v>51000</v>
      </c>
      <c r="G17" s="3" t="s">
        <v>55</v>
      </c>
      <c r="H17" s="5">
        <v>900</v>
      </c>
      <c r="J17" s="3" t="s">
        <v>25</v>
      </c>
      <c r="K17" s="4">
        <v>8</v>
      </c>
    </row>
    <row r="18" spans="4:11" x14ac:dyDescent="0.35">
      <c r="D18" s="3" t="s">
        <v>59</v>
      </c>
      <c r="E18" s="5">
        <v>11300</v>
      </c>
      <c r="G18" s="3" t="s">
        <v>58</v>
      </c>
      <c r="H18" s="5">
        <v>3500</v>
      </c>
      <c r="J18" s="3" t="s">
        <v>59</v>
      </c>
      <c r="K18" s="4">
        <v>6</v>
      </c>
    </row>
    <row r="19" spans="4:11" x14ac:dyDescent="0.35">
      <c r="D19" s="3" t="s">
        <v>145</v>
      </c>
      <c r="E19" s="5">
        <v>769200</v>
      </c>
      <c r="G19" s="3" t="s">
        <v>61</v>
      </c>
      <c r="H19" s="5">
        <v>60000</v>
      </c>
      <c r="J19" s="3" t="s">
        <v>145</v>
      </c>
      <c r="K19" s="4">
        <v>314</v>
      </c>
    </row>
    <row r="20" spans="4:11" x14ac:dyDescent="0.35">
      <c r="G20" s="3" t="s">
        <v>63</v>
      </c>
      <c r="H20" s="5">
        <v>22000</v>
      </c>
    </row>
    <row r="21" spans="4:11" x14ac:dyDescent="0.35">
      <c r="G21" s="3" t="s">
        <v>65</v>
      </c>
      <c r="H21" s="5">
        <v>4800</v>
      </c>
    </row>
    <row r="22" spans="4:11" x14ac:dyDescent="0.35">
      <c r="G22" s="3" t="s">
        <v>67</v>
      </c>
      <c r="H22" s="5">
        <v>13000</v>
      </c>
    </row>
    <row r="23" spans="4:11" x14ac:dyDescent="0.35">
      <c r="G23" s="3" t="s">
        <v>69</v>
      </c>
      <c r="H23" s="5">
        <v>14500</v>
      </c>
    </row>
    <row r="24" spans="4:11" x14ac:dyDescent="0.35">
      <c r="G24" s="3" t="s">
        <v>71</v>
      </c>
      <c r="H24" s="5">
        <v>1500</v>
      </c>
    </row>
    <row r="25" spans="4:11" x14ac:dyDescent="0.35">
      <c r="G25" s="3" t="s">
        <v>73</v>
      </c>
      <c r="H25" s="5">
        <v>600</v>
      </c>
    </row>
    <row r="26" spans="4:11" x14ac:dyDescent="0.35">
      <c r="G26" s="3" t="s">
        <v>75</v>
      </c>
      <c r="H26" s="5">
        <v>17500</v>
      </c>
    </row>
    <row r="27" spans="4:11" x14ac:dyDescent="0.35">
      <c r="G27" s="3" t="s">
        <v>77</v>
      </c>
      <c r="H27" s="5">
        <v>3200</v>
      </c>
    </row>
    <row r="28" spans="4:11" x14ac:dyDescent="0.35">
      <c r="G28" s="3" t="s">
        <v>79</v>
      </c>
      <c r="H28" s="5">
        <v>2000</v>
      </c>
    </row>
    <row r="29" spans="4:11" x14ac:dyDescent="0.35">
      <c r="G29" s="3" t="s">
        <v>81</v>
      </c>
      <c r="H29" s="5">
        <v>15500</v>
      </c>
    </row>
    <row r="30" spans="4:11" x14ac:dyDescent="0.35">
      <c r="G30" s="3" t="s">
        <v>83</v>
      </c>
      <c r="H30" s="5">
        <v>47000</v>
      </c>
    </row>
    <row r="31" spans="4:11" x14ac:dyDescent="0.35">
      <c r="G31" s="3" t="s">
        <v>85</v>
      </c>
      <c r="H31" s="5">
        <v>4200</v>
      </c>
    </row>
    <row r="32" spans="4:11" x14ac:dyDescent="0.35">
      <c r="G32" s="3" t="s">
        <v>87</v>
      </c>
      <c r="H32" s="5">
        <v>1000</v>
      </c>
    </row>
    <row r="33" spans="7:8" x14ac:dyDescent="0.35">
      <c r="G33" s="3" t="s">
        <v>89</v>
      </c>
      <c r="H33" s="5">
        <v>3800</v>
      </c>
    </row>
    <row r="34" spans="7:8" x14ac:dyDescent="0.35">
      <c r="G34" s="3" t="s">
        <v>91</v>
      </c>
      <c r="H34" s="5">
        <v>58000</v>
      </c>
    </row>
    <row r="35" spans="7:8" x14ac:dyDescent="0.35">
      <c r="G35" s="3" t="s">
        <v>93</v>
      </c>
      <c r="H35" s="5">
        <v>21000</v>
      </c>
    </row>
    <row r="36" spans="7:8" x14ac:dyDescent="0.35">
      <c r="G36" s="3" t="s">
        <v>95</v>
      </c>
      <c r="H36" s="5">
        <v>5000</v>
      </c>
    </row>
    <row r="37" spans="7:8" x14ac:dyDescent="0.35">
      <c r="G37" s="3" t="s">
        <v>97</v>
      </c>
      <c r="H37" s="5">
        <v>12500</v>
      </c>
    </row>
    <row r="38" spans="7:8" x14ac:dyDescent="0.35">
      <c r="G38" s="3" t="s">
        <v>99</v>
      </c>
      <c r="H38" s="5">
        <v>14800</v>
      </c>
    </row>
    <row r="39" spans="7:8" x14ac:dyDescent="0.35">
      <c r="G39" s="3" t="s">
        <v>101</v>
      </c>
      <c r="H39" s="5">
        <v>1600</v>
      </c>
    </row>
    <row r="40" spans="7:8" x14ac:dyDescent="0.35">
      <c r="G40" s="3" t="s">
        <v>103</v>
      </c>
      <c r="H40" s="5">
        <v>700</v>
      </c>
    </row>
    <row r="41" spans="7:8" x14ac:dyDescent="0.35">
      <c r="G41" s="3" t="s">
        <v>105</v>
      </c>
      <c r="H41" s="5">
        <v>18500</v>
      </c>
    </row>
    <row r="42" spans="7:8" x14ac:dyDescent="0.35">
      <c r="G42" s="3" t="s">
        <v>107</v>
      </c>
      <c r="H42" s="5">
        <v>3400</v>
      </c>
    </row>
    <row r="43" spans="7:8" x14ac:dyDescent="0.35">
      <c r="G43" s="3" t="s">
        <v>109</v>
      </c>
      <c r="H43" s="5">
        <v>2100</v>
      </c>
    </row>
    <row r="44" spans="7:8" x14ac:dyDescent="0.35">
      <c r="G44" s="3" t="s">
        <v>111</v>
      </c>
      <c r="H44" s="5">
        <v>16500</v>
      </c>
    </row>
    <row r="45" spans="7:8" x14ac:dyDescent="0.35">
      <c r="G45" s="3" t="s">
        <v>113</v>
      </c>
      <c r="H45" s="5">
        <v>48000</v>
      </c>
    </row>
    <row r="46" spans="7:8" x14ac:dyDescent="0.35">
      <c r="G46" s="3" t="s">
        <v>115</v>
      </c>
      <c r="H46" s="5">
        <v>4500</v>
      </c>
    </row>
    <row r="47" spans="7:8" x14ac:dyDescent="0.35">
      <c r="G47" s="3" t="s">
        <v>117</v>
      </c>
      <c r="H47" s="5">
        <v>1100</v>
      </c>
    </row>
    <row r="48" spans="7:8" x14ac:dyDescent="0.35">
      <c r="G48" s="3" t="s">
        <v>119</v>
      </c>
      <c r="H48" s="5">
        <v>4000</v>
      </c>
    </row>
    <row r="49" spans="7:8" x14ac:dyDescent="0.35">
      <c r="G49" s="3" t="s">
        <v>121</v>
      </c>
      <c r="H49" s="5">
        <v>62000</v>
      </c>
    </row>
    <row r="50" spans="7:8" x14ac:dyDescent="0.35">
      <c r="G50" s="3" t="s">
        <v>123</v>
      </c>
      <c r="H50" s="5">
        <v>23000</v>
      </c>
    </row>
    <row r="51" spans="7:8" x14ac:dyDescent="0.35">
      <c r="G51" s="3" t="s">
        <v>125</v>
      </c>
      <c r="H51" s="5">
        <v>5200</v>
      </c>
    </row>
    <row r="52" spans="7:8" x14ac:dyDescent="0.35">
      <c r="G52" s="3" t="s">
        <v>127</v>
      </c>
      <c r="H52" s="5">
        <v>13500</v>
      </c>
    </row>
    <row r="53" spans="7:8" x14ac:dyDescent="0.35">
      <c r="G53" s="3" t="s">
        <v>129</v>
      </c>
      <c r="H53" s="5">
        <v>15500</v>
      </c>
    </row>
    <row r="54" spans="7:8" x14ac:dyDescent="0.35">
      <c r="G54" s="3" t="s">
        <v>131</v>
      </c>
      <c r="H54" s="5">
        <v>1700</v>
      </c>
    </row>
    <row r="55" spans="7:8" x14ac:dyDescent="0.35">
      <c r="G55" s="3" t="s">
        <v>133</v>
      </c>
      <c r="H55" s="5">
        <v>800</v>
      </c>
    </row>
    <row r="56" spans="7:8" x14ac:dyDescent="0.35">
      <c r="G56" s="3" t="s">
        <v>135</v>
      </c>
      <c r="H56" s="5">
        <v>19000</v>
      </c>
    </row>
    <row r="57" spans="7:8" x14ac:dyDescent="0.35">
      <c r="G57" s="3" t="s">
        <v>137</v>
      </c>
      <c r="H57" s="5">
        <v>3600</v>
      </c>
    </row>
    <row r="58" spans="7:8" x14ac:dyDescent="0.35">
      <c r="G58" s="3" t="s">
        <v>139</v>
      </c>
      <c r="H58" s="5">
        <v>2200</v>
      </c>
    </row>
    <row r="59" spans="7:8" x14ac:dyDescent="0.35">
      <c r="G59" s="3" t="s">
        <v>145</v>
      </c>
      <c r="H59" s="5">
        <v>769200</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V10" sqref="V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2025-12-28T02:49:42Z</dcterms:created>
  <dcterms:modified xsi:type="dcterms:W3CDTF">2025-12-28T06:46:16Z</dcterms:modified>
</cp:coreProperties>
</file>